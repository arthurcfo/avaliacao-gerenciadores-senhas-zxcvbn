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asavbrm-my.sharepoint.com/personal/arthurfo_edu_unisinos_br/Documents/1 - Projeto Final II/Project/"/>
    </mc:Choice>
  </mc:AlternateContent>
  <xr:revisionPtr revIDLastSave="3534" documentId="11_F25DC773A252ABDACC1048A8E11D7A7E5ADE58E5" xr6:coauthVersionLast="47" xr6:coauthVersionMax="47" xr10:uidLastSave="{5A603436-38A8-4D1C-90F4-95E0250FB877}"/>
  <bookViews>
    <workbookView xWindow="-120" yWindow="-120" windowWidth="38640" windowHeight="21120" xr2:uid="{00000000-000D-0000-FFFF-FFFF00000000}"/>
  </bookViews>
  <sheets>
    <sheet name="Bitwarden" sheetId="6" r:id="rId1"/>
    <sheet name="Kaspersky" sheetId="1" r:id="rId2"/>
    <sheet name="Keeper" sheetId="4" r:id="rId3"/>
    <sheet name="LastPass" sheetId="7" r:id="rId4"/>
    <sheet name="NordPass" sheetId="3" r:id="rId5"/>
    <sheet name="Norton PM" sheetId="5" r:id="rId6"/>
  </sheets>
  <definedNames>
    <definedName name="_xlnm._FilterDatabase" localSheetId="0" hidden="1">Bitwarden!$A$1:$O$241</definedName>
    <definedName name="_xlnm._FilterDatabase" localSheetId="1" hidden="1">Kaspersky!$A$1:$N$241</definedName>
    <definedName name="_xlnm._FilterDatabase" localSheetId="2" hidden="1">Keeper!$A$1:$N$241</definedName>
    <definedName name="_xlnm._FilterDatabase" localSheetId="3" hidden="1">LastPass!$A$1:$O$241</definedName>
    <definedName name="_xlnm._FilterDatabase" localSheetId="4" hidden="1">NordPass!$A$1:$O$241</definedName>
    <definedName name="_xlnm._FilterDatabase" localSheetId="5" hidden="1">'Norton PM'!$A$1:$O$241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3" i="7" l="1"/>
  <c r="U63" i="7"/>
  <c r="S63" i="7"/>
  <c r="W62" i="7"/>
  <c r="U62" i="7"/>
  <c r="S62" i="7"/>
  <c r="W67" i="1"/>
  <c r="U67" i="1"/>
  <c r="S67" i="1"/>
  <c r="W61" i="1"/>
  <c r="U61" i="1"/>
  <c r="S61" i="1"/>
  <c r="W30" i="3"/>
  <c r="W26" i="3"/>
  <c r="W25" i="3"/>
  <c r="U30" i="3"/>
  <c r="U26" i="3"/>
  <c r="U25" i="3"/>
  <c r="S30" i="3"/>
  <c r="S26" i="3"/>
  <c r="S25" i="3"/>
  <c r="W18" i="3"/>
  <c r="W14" i="3"/>
  <c r="W13" i="3"/>
  <c r="U18" i="3"/>
  <c r="U14" i="3"/>
  <c r="U13" i="3"/>
  <c r="S18" i="3"/>
  <c r="S14" i="3"/>
  <c r="S13" i="3"/>
  <c r="S101" i="3"/>
  <c r="U37" i="3"/>
  <c r="S37" i="3"/>
  <c r="E4" i="1" l="1"/>
  <c r="O4" i="1" s="1"/>
  <c r="E5" i="1"/>
  <c r="O5" i="1" s="1"/>
  <c r="E6" i="1"/>
  <c r="O6" i="1" s="1"/>
  <c r="E7" i="1"/>
  <c r="O7" i="1" s="1"/>
  <c r="E8" i="1"/>
  <c r="O8" i="1" s="1"/>
  <c r="E9" i="1"/>
  <c r="O9" i="1" s="1"/>
  <c r="E10" i="1"/>
  <c r="O10" i="1" s="1"/>
  <c r="E11" i="1"/>
  <c r="O11" i="1" s="1"/>
  <c r="E12" i="1"/>
  <c r="O12" i="1" s="1"/>
  <c r="E13" i="1"/>
  <c r="O13" i="1" s="1"/>
  <c r="E14" i="1"/>
  <c r="O14" i="1" s="1"/>
  <c r="E15" i="1"/>
  <c r="O15" i="1" s="1"/>
  <c r="E16" i="1"/>
  <c r="O16" i="1" s="1"/>
  <c r="E17" i="1"/>
  <c r="O17" i="1" s="1"/>
  <c r="E18" i="1"/>
  <c r="O18" i="1" s="1"/>
  <c r="E19" i="1"/>
  <c r="O19" i="1" s="1"/>
  <c r="E20" i="1"/>
  <c r="O20" i="1" s="1"/>
  <c r="E21" i="1"/>
  <c r="O21" i="1" s="1"/>
  <c r="E22" i="1"/>
  <c r="O22" i="1" s="1"/>
  <c r="E23" i="1"/>
  <c r="O23" i="1" s="1"/>
  <c r="E24" i="1"/>
  <c r="O24" i="1" s="1"/>
  <c r="E25" i="1"/>
  <c r="O25" i="1" s="1"/>
  <c r="E26" i="1"/>
  <c r="O26" i="1" s="1"/>
  <c r="E27" i="1"/>
  <c r="O27" i="1" s="1"/>
  <c r="E28" i="1"/>
  <c r="O28" i="1" s="1"/>
  <c r="E29" i="1"/>
  <c r="O29" i="1" s="1"/>
  <c r="E30" i="1"/>
  <c r="O30" i="1" s="1"/>
  <c r="E31" i="1"/>
  <c r="O31" i="1" s="1"/>
  <c r="E32" i="1"/>
  <c r="O32" i="1" s="1"/>
  <c r="E33" i="1"/>
  <c r="O33" i="1" s="1"/>
  <c r="E34" i="1"/>
  <c r="O34" i="1" s="1"/>
  <c r="E35" i="1"/>
  <c r="O35" i="1" s="1"/>
  <c r="E36" i="1"/>
  <c r="O36" i="1" s="1"/>
  <c r="E37" i="1"/>
  <c r="O37" i="1" s="1"/>
  <c r="E38" i="1"/>
  <c r="O38" i="1" s="1"/>
  <c r="E39" i="1"/>
  <c r="O39" i="1" s="1"/>
  <c r="E40" i="1"/>
  <c r="O40" i="1" s="1"/>
  <c r="E41" i="1"/>
  <c r="O41" i="1" s="1"/>
  <c r="E42" i="1"/>
  <c r="O42" i="1" s="1"/>
  <c r="E43" i="1"/>
  <c r="O43" i="1" s="1"/>
  <c r="E44" i="1"/>
  <c r="O44" i="1" s="1"/>
  <c r="E45" i="1"/>
  <c r="O45" i="1" s="1"/>
  <c r="E46" i="1"/>
  <c r="O46" i="1" s="1"/>
  <c r="E47" i="1"/>
  <c r="O47" i="1" s="1"/>
  <c r="E48" i="1"/>
  <c r="O48" i="1" s="1"/>
  <c r="E49" i="1"/>
  <c r="O49" i="1" s="1"/>
  <c r="E50" i="1"/>
  <c r="O50" i="1" s="1"/>
  <c r="E51" i="1"/>
  <c r="O51" i="1" s="1"/>
  <c r="E52" i="1"/>
  <c r="O52" i="1" s="1"/>
  <c r="E53" i="1"/>
  <c r="O53" i="1" s="1"/>
  <c r="E54" i="1"/>
  <c r="O54" i="1" s="1"/>
  <c r="E55" i="1"/>
  <c r="O55" i="1" s="1"/>
  <c r="E56" i="1"/>
  <c r="O56" i="1" s="1"/>
  <c r="E57" i="1"/>
  <c r="O57" i="1" s="1"/>
  <c r="E58" i="1"/>
  <c r="O58" i="1" s="1"/>
  <c r="E59" i="1"/>
  <c r="O59" i="1" s="1"/>
  <c r="E60" i="1"/>
  <c r="O60" i="1" s="1"/>
  <c r="E61" i="1"/>
  <c r="O61" i="1" s="1"/>
  <c r="E62" i="1"/>
  <c r="E63" i="1"/>
  <c r="O63" i="1" s="1"/>
  <c r="E64" i="1"/>
  <c r="O64" i="1" s="1"/>
  <c r="E65" i="1"/>
  <c r="O65" i="1" s="1"/>
  <c r="E66" i="1"/>
  <c r="O66" i="1" s="1"/>
  <c r="E67" i="1"/>
  <c r="O67" i="1" s="1"/>
  <c r="E68" i="1"/>
  <c r="O68" i="1" s="1"/>
  <c r="E69" i="1"/>
  <c r="O69" i="1" s="1"/>
  <c r="E70" i="1"/>
  <c r="O70" i="1" s="1"/>
  <c r="E71" i="1"/>
  <c r="O71" i="1" s="1"/>
  <c r="E72" i="1"/>
  <c r="O72" i="1" s="1"/>
  <c r="E73" i="1"/>
  <c r="O73" i="1" s="1"/>
  <c r="E74" i="1"/>
  <c r="O74" i="1" s="1"/>
  <c r="E75" i="1"/>
  <c r="O75" i="1" s="1"/>
  <c r="E76" i="1"/>
  <c r="O76" i="1" s="1"/>
  <c r="E77" i="1"/>
  <c r="O77" i="1" s="1"/>
  <c r="E78" i="1"/>
  <c r="O78" i="1" s="1"/>
  <c r="E79" i="1"/>
  <c r="O79" i="1" s="1"/>
  <c r="E80" i="1"/>
  <c r="O80" i="1" s="1"/>
  <c r="E81" i="1"/>
  <c r="O81" i="1" s="1"/>
  <c r="E82" i="1"/>
  <c r="E83" i="1"/>
  <c r="O83" i="1" s="1"/>
  <c r="E84" i="1"/>
  <c r="O84" i="1" s="1"/>
  <c r="E85" i="1"/>
  <c r="O85" i="1" s="1"/>
  <c r="E86" i="1"/>
  <c r="O86" i="1" s="1"/>
  <c r="E87" i="1"/>
  <c r="O87" i="1" s="1"/>
  <c r="E88" i="1"/>
  <c r="O88" i="1" s="1"/>
  <c r="E89" i="1"/>
  <c r="O89" i="1" s="1"/>
  <c r="E90" i="1"/>
  <c r="O90" i="1" s="1"/>
  <c r="E91" i="1"/>
  <c r="O91" i="1" s="1"/>
  <c r="E92" i="1"/>
  <c r="O92" i="1" s="1"/>
  <c r="E93" i="1"/>
  <c r="O93" i="1" s="1"/>
  <c r="E94" i="1"/>
  <c r="O94" i="1" s="1"/>
  <c r="E95" i="1"/>
  <c r="O95" i="1" s="1"/>
  <c r="E96" i="1"/>
  <c r="O96" i="1" s="1"/>
  <c r="E97" i="1"/>
  <c r="O97" i="1" s="1"/>
  <c r="E98" i="1"/>
  <c r="O98" i="1" s="1"/>
  <c r="E99" i="1"/>
  <c r="O99" i="1" s="1"/>
  <c r="E100" i="1"/>
  <c r="O100" i="1" s="1"/>
  <c r="E101" i="1"/>
  <c r="O101" i="1" s="1"/>
  <c r="E102" i="1"/>
  <c r="E103" i="1"/>
  <c r="O103" i="1" s="1"/>
  <c r="E104" i="1"/>
  <c r="O104" i="1" s="1"/>
  <c r="E105" i="1"/>
  <c r="O105" i="1" s="1"/>
  <c r="E106" i="1"/>
  <c r="O106" i="1" s="1"/>
  <c r="E107" i="1"/>
  <c r="O107" i="1" s="1"/>
  <c r="E108" i="1"/>
  <c r="O108" i="1" s="1"/>
  <c r="E109" i="1"/>
  <c r="O109" i="1" s="1"/>
  <c r="E110" i="1"/>
  <c r="O110" i="1" s="1"/>
  <c r="E111" i="1"/>
  <c r="O111" i="1" s="1"/>
  <c r="E112" i="1"/>
  <c r="O112" i="1" s="1"/>
  <c r="E113" i="1"/>
  <c r="O113" i="1" s="1"/>
  <c r="E114" i="1"/>
  <c r="O114" i="1" s="1"/>
  <c r="E115" i="1"/>
  <c r="O115" i="1" s="1"/>
  <c r="E116" i="1"/>
  <c r="O116" i="1" s="1"/>
  <c r="E117" i="1"/>
  <c r="O117" i="1" s="1"/>
  <c r="E118" i="1"/>
  <c r="O118" i="1" s="1"/>
  <c r="E119" i="1"/>
  <c r="O119" i="1" s="1"/>
  <c r="E120" i="1"/>
  <c r="O120" i="1" s="1"/>
  <c r="E121" i="1"/>
  <c r="O121" i="1" s="1"/>
  <c r="E122" i="1"/>
  <c r="O122" i="1" s="1"/>
  <c r="E123" i="1"/>
  <c r="O123" i="1" s="1"/>
  <c r="E124" i="1"/>
  <c r="O124" i="1" s="1"/>
  <c r="E125" i="1"/>
  <c r="O125" i="1" s="1"/>
  <c r="E126" i="1"/>
  <c r="O126" i="1" s="1"/>
  <c r="E127" i="1"/>
  <c r="O127" i="1" s="1"/>
  <c r="E128" i="1"/>
  <c r="O128" i="1" s="1"/>
  <c r="E129" i="1"/>
  <c r="O129" i="1" s="1"/>
  <c r="E130" i="1"/>
  <c r="O130" i="1" s="1"/>
  <c r="E131" i="1"/>
  <c r="O131" i="1" s="1"/>
  <c r="E132" i="1"/>
  <c r="O132" i="1" s="1"/>
  <c r="E133" i="1"/>
  <c r="O133" i="1" s="1"/>
  <c r="E134" i="1"/>
  <c r="O134" i="1" s="1"/>
  <c r="E135" i="1"/>
  <c r="O135" i="1" s="1"/>
  <c r="E136" i="1"/>
  <c r="O136" i="1" s="1"/>
  <c r="E137" i="1"/>
  <c r="O137" i="1" s="1"/>
  <c r="E138" i="1"/>
  <c r="O138" i="1" s="1"/>
  <c r="E139" i="1"/>
  <c r="O139" i="1" s="1"/>
  <c r="E140" i="1"/>
  <c r="O140" i="1" s="1"/>
  <c r="E141" i="1"/>
  <c r="O141" i="1" s="1"/>
  <c r="E142" i="1"/>
  <c r="E143" i="1"/>
  <c r="O143" i="1" s="1"/>
  <c r="E144" i="1"/>
  <c r="O144" i="1" s="1"/>
  <c r="E145" i="1"/>
  <c r="O145" i="1" s="1"/>
  <c r="E146" i="1"/>
  <c r="O146" i="1" s="1"/>
  <c r="E147" i="1"/>
  <c r="O147" i="1" s="1"/>
  <c r="E148" i="1"/>
  <c r="O148" i="1" s="1"/>
  <c r="E149" i="1"/>
  <c r="O149" i="1" s="1"/>
  <c r="E150" i="1"/>
  <c r="O150" i="1" s="1"/>
  <c r="E151" i="1"/>
  <c r="O151" i="1" s="1"/>
  <c r="E152" i="1"/>
  <c r="O152" i="1" s="1"/>
  <c r="E153" i="1"/>
  <c r="O153" i="1" s="1"/>
  <c r="E154" i="1"/>
  <c r="O154" i="1" s="1"/>
  <c r="E155" i="1"/>
  <c r="O155" i="1" s="1"/>
  <c r="E156" i="1"/>
  <c r="O156" i="1" s="1"/>
  <c r="E157" i="1"/>
  <c r="O157" i="1" s="1"/>
  <c r="E158" i="1"/>
  <c r="O158" i="1" s="1"/>
  <c r="E159" i="1"/>
  <c r="O159" i="1" s="1"/>
  <c r="E160" i="1"/>
  <c r="O160" i="1" s="1"/>
  <c r="E161" i="1"/>
  <c r="O161" i="1" s="1"/>
  <c r="E162" i="1"/>
  <c r="O162" i="1" s="1"/>
  <c r="E163" i="1"/>
  <c r="O163" i="1" s="1"/>
  <c r="E164" i="1"/>
  <c r="O164" i="1" s="1"/>
  <c r="E165" i="1"/>
  <c r="O165" i="1" s="1"/>
  <c r="E166" i="1"/>
  <c r="O166" i="1" s="1"/>
  <c r="E167" i="1"/>
  <c r="O167" i="1" s="1"/>
  <c r="E168" i="1"/>
  <c r="O168" i="1" s="1"/>
  <c r="E169" i="1"/>
  <c r="O169" i="1" s="1"/>
  <c r="E170" i="1"/>
  <c r="O170" i="1" s="1"/>
  <c r="E171" i="1"/>
  <c r="O171" i="1" s="1"/>
  <c r="E172" i="1"/>
  <c r="O172" i="1" s="1"/>
  <c r="E173" i="1"/>
  <c r="O173" i="1" s="1"/>
  <c r="E174" i="1"/>
  <c r="O174" i="1" s="1"/>
  <c r="E175" i="1"/>
  <c r="O175" i="1" s="1"/>
  <c r="E176" i="1"/>
  <c r="O176" i="1" s="1"/>
  <c r="E177" i="1"/>
  <c r="O177" i="1" s="1"/>
  <c r="E178" i="1"/>
  <c r="O178" i="1" s="1"/>
  <c r="E179" i="1"/>
  <c r="O179" i="1" s="1"/>
  <c r="E180" i="1"/>
  <c r="O180" i="1" s="1"/>
  <c r="E181" i="1"/>
  <c r="O181" i="1" s="1"/>
  <c r="E182" i="1"/>
  <c r="E183" i="1"/>
  <c r="O183" i="1" s="1"/>
  <c r="E184" i="1"/>
  <c r="O184" i="1" s="1"/>
  <c r="E185" i="1"/>
  <c r="O185" i="1" s="1"/>
  <c r="E186" i="1"/>
  <c r="O186" i="1" s="1"/>
  <c r="E187" i="1"/>
  <c r="O187" i="1" s="1"/>
  <c r="E188" i="1"/>
  <c r="O188" i="1" s="1"/>
  <c r="E189" i="1"/>
  <c r="O189" i="1" s="1"/>
  <c r="E190" i="1"/>
  <c r="O190" i="1" s="1"/>
  <c r="E191" i="1"/>
  <c r="O191" i="1" s="1"/>
  <c r="E192" i="1"/>
  <c r="O192" i="1" s="1"/>
  <c r="E193" i="1"/>
  <c r="O193" i="1" s="1"/>
  <c r="E194" i="1"/>
  <c r="O194" i="1" s="1"/>
  <c r="E195" i="1"/>
  <c r="O195" i="1" s="1"/>
  <c r="E196" i="1"/>
  <c r="O196" i="1" s="1"/>
  <c r="E197" i="1"/>
  <c r="O197" i="1" s="1"/>
  <c r="E198" i="1"/>
  <c r="O198" i="1" s="1"/>
  <c r="E199" i="1"/>
  <c r="O199" i="1" s="1"/>
  <c r="E200" i="1"/>
  <c r="O200" i="1" s="1"/>
  <c r="E201" i="1"/>
  <c r="O201" i="1" s="1"/>
  <c r="E202" i="1"/>
  <c r="E203" i="1"/>
  <c r="O203" i="1" s="1"/>
  <c r="E204" i="1"/>
  <c r="O204" i="1" s="1"/>
  <c r="E205" i="1"/>
  <c r="O205" i="1" s="1"/>
  <c r="E206" i="1"/>
  <c r="O206" i="1" s="1"/>
  <c r="E207" i="1"/>
  <c r="O207" i="1" s="1"/>
  <c r="E208" i="1"/>
  <c r="O208" i="1" s="1"/>
  <c r="E209" i="1"/>
  <c r="O209" i="1" s="1"/>
  <c r="E210" i="1"/>
  <c r="O210" i="1" s="1"/>
  <c r="E211" i="1"/>
  <c r="O211" i="1" s="1"/>
  <c r="E212" i="1"/>
  <c r="O212" i="1" s="1"/>
  <c r="E213" i="1"/>
  <c r="O213" i="1" s="1"/>
  <c r="E214" i="1"/>
  <c r="O214" i="1" s="1"/>
  <c r="E215" i="1"/>
  <c r="O215" i="1" s="1"/>
  <c r="E216" i="1"/>
  <c r="O216" i="1" s="1"/>
  <c r="E217" i="1"/>
  <c r="O217" i="1" s="1"/>
  <c r="E218" i="1"/>
  <c r="O218" i="1" s="1"/>
  <c r="E219" i="1"/>
  <c r="O219" i="1" s="1"/>
  <c r="E220" i="1"/>
  <c r="O220" i="1" s="1"/>
  <c r="E221" i="1"/>
  <c r="O221" i="1" s="1"/>
  <c r="E222" i="1"/>
  <c r="E223" i="1"/>
  <c r="O223" i="1" s="1"/>
  <c r="E224" i="1"/>
  <c r="O224" i="1" s="1"/>
  <c r="E225" i="1"/>
  <c r="O225" i="1" s="1"/>
  <c r="E226" i="1"/>
  <c r="O226" i="1" s="1"/>
  <c r="E227" i="1"/>
  <c r="O227" i="1" s="1"/>
  <c r="E228" i="1"/>
  <c r="O228" i="1" s="1"/>
  <c r="E229" i="1"/>
  <c r="O229" i="1" s="1"/>
  <c r="E230" i="1"/>
  <c r="O230" i="1" s="1"/>
  <c r="E231" i="1"/>
  <c r="O231" i="1" s="1"/>
  <c r="E232" i="1"/>
  <c r="O232" i="1" s="1"/>
  <c r="E233" i="1"/>
  <c r="O233" i="1" s="1"/>
  <c r="E234" i="1"/>
  <c r="O234" i="1" s="1"/>
  <c r="E235" i="1"/>
  <c r="O235" i="1" s="1"/>
  <c r="E236" i="1"/>
  <c r="O236" i="1" s="1"/>
  <c r="E237" i="1"/>
  <c r="O237" i="1" s="1"/>
  <c r="E238" i="1"/>
  <c r="O238" i="1" s="1"/>
  <c r="E239" i="1"/>
  <c r="O239" i="1" s="1"/>
  <c r="E240" i="1"/>
  <c r="O240" i="1" s="1"/>
  <c r="E241" i="1"/>
  <c r="O241" i="1" s="1"/>
  <c r="E2" i="1"/>
  <c r="O2" i="1" s="1"/>
  <c r="E3" i="1"/>
  <c r="W101" i="3"/>
  <c r="S96" i="4"/>
  <c r="W102" i="5"/>
  <c r="W101" i="5"/>
  <c r="W100" i="5"/>
  <c r="W99" i="5"/>
  <c r="U102" i="5"/>
  <c r="U101" i="5"/>
  <c r="U100" i="5"/>
  <c r="U99" i="5"/>
  <c r="S102" i="5"/>
  <c r="S101" i="5"/>
  <c r="S100" i="5"/>
  <c r="S99" i="5"/>
  <c r="E241" i="3"/>
  <c r="E4" i="3"/>
  <c r="E5" i="3"/>
  <c r="E6" i="3"/>
  <c r="E7" i="3"/>
  <c r="E8" i="3"/>
  <c r="E9" i="3"/>
  <c r="E10" i="3"/>
  <c r="E11" i="3"/>
  <c r="E12" i="3"/>
  <c r="E13" i="3"/>
  <c r="O13" i="3" s="1"/>
  <c r="E14" i="3"/>
  <c r="O14" i="3" s="1"/>
  <c r="E15" i="3"/>
  <c r="E16" i="3"/>
  <c r="E17" i="3"/>
  <c r="E18" i="3"/>
  <c r="O18" i="3" s="1"/>
  <c r="E19" i="3"/>
  <c r="O19" i="3" s="1"/>
  <c r="E20" i="3"/>
  <c r="E21" i="3"/>
  <c r="E22" i="3"/>
  <c r="E23" i="3"/>
  <c r="E24" i="3"/>
  <c r="E25" i="3"/>
  <c r="E26" i="3"/>
  <c r="E27" i="3"/>
  <c r="E28" i="3"/>
  <c r="E29" i="3"/>
  <c r="O29" i="3" s="1"/>
  <c r="E30" i="3"/>
  <c r="O30" i="3" s="1"/>
  <c r="E31" i="3"/>
  <c r="E32" i="3"/>
  <c r="E33" i="3"/>
  <c r="E34" i="3"/>
  <c r="O34" i="3" s="1"/>
  <c r="E35" i="3"/>
  <c r="O35" i="3" s="1"/>
  <c r="E36" i="3"/>
  <c r="E37" i="3"/>
  <c r="E38" i="3"/>
  <c r="E39" i="3"/>
  <c r="E40" i="3"/>
  <c r="E41" i="3"/>
  <c r="E42" i="3"/>
  <c r="E43" i="3"/>
  <c r="E44" i="3"/>
  <c r="E45" i="3"/>
  <c r="O45" i="3" s="1"/>
  <c r="E46" i="3"/>
  <c r="O46" i="3" s="1"/>
  <c r="E47" i="3"/>
  <c r="E48" i="3"/>
  <c r="E49" i="3"/>
  <c r="E50" i="3"/>
  <c r="O50" i="3" s="1"/>
  <c r="E51" i="3"/>
  <c r="O51" i="3" s="1"/>
  <c r="E52" i="3"/>
  <c r="E53" i="3"/>
  <c r="E54" i="3"/>
  <c r="E55" i="3"/>
  <c r="E56" i="3"/>
  <c r="E57" i="3"/>
  <c r="E58" i="3"/>
  <c r="E59" i="3"/>
  <c r="E60" i="3"/>
  <c r="E61" i="3"/>
  <c r="O61" i="3" s="1"/>
  <c r="E62" i="3"/>
  <c r="O62" i="3" s="1"/>
  <c r="E63" i="3"/>
  <c r="E64" i="3"/>
  <c r="E65" i="3"/>
  <c r="E66" i="3"/>
  <c r="O66" i="3" s="1"/>
  <c r="E67" i="3"/>
  <c r="O67" i="3" s="1"/>
  <c r="E68" i="3"/>
  <c r="E69" i="3"/>
  <c r="E70" i="3"/>
  <c r="E71" i="3"/>
  <c r="E72" i="3"/>
  <c r="E73" i="3"/>
  <c r="E74" i="3"/>
  <c r="E75" i="3"/>
  <c r="E76" i="3"/>
  <c r="E77" i="3"/>
  <c r="O77" i="3" s="1"/>
  <c r="E78" i="3"/>
  <c r="O78" i="3" s="1"/>
  <c r="E79" i="3"/>
  <c r="E80" i="3"/>
  <c r="E81" i="3"/>
  <c r="E82" i="3"/>
  <c r="O82" i="3" s="1"/>
  <c r="E83" i="3"/>
  <c r="O83" i="3" s="1"/>
  <c r="E84" i="3"/>
  <c r="E85" i="3"/>
  <c r="E86" i="3"/>
  <c r="E87" i="3"/>
  <c r="E88" i="3"/>
  <c r="E89" i="3"/>
  <c r="E90" i="3"/>
  <c r="E91" i="3"/>
  <c r="E92" i="3"/>
  <c r="E93" i="3"/>
  <c r="O93" i="3" s="1"/>
  <c r="E94" i="3"/>
  <c r="O94" i="3" s="1"/>
  <c r="E95" i="3"/>
  <c r="E96" i="3"/>
  <c r="E97" i="3"/>
  <c r="E98" i="3"/>
  <c r="O98" i="3" s="1"/>
  <c r="E99" i="3"/>
  <c r="O99" i="3" s="1"/>
  <c r="E100" i="3"/>
  <c r="E101" i="3"/>
  <c r="E102" i="3"/>
  <c r="E103" i="3"/>
  <c r="E104" i="3"/>
  <c r="E105" i="3"/>
  <c r="E106" i="3"/>
  <c r="E107" i="3"/>
  <c r="E108" i="3"/>
  <c r="E109" i="3"/>
  <c r="O109" i="3" s="1"/>
  <c r="E110" i="3"/>
  <c r="O110" i="3" s="1"/>
  <c r="E111" i="3"/>
  <c r="E112" i="3"/>
  <c r="E113" i="3"/>
  <c r="E114" i="3"/>
  <c r="O114" i="3" s="1"/>
  <c r="E115" i="3"/>
  <c r="O115" i="3" s="1"/>
  <c r="E116" i="3"/>
  <c r="E117" i="3"/>
  <c r="E118" i="3"/>
  <c r="E119" i="3"/>
  <c r="E120" i="3"/>
  <c r="E121" i="3"/>
  <c r="E122" i="3"/>
  <c r="E123" i="3"/>
  <c r="E124" i="3"/>
  <c r="E125" i="3"/>
  <c r="O125" i="3" s="1"/>
  <c r="E126" i="3"/>
  <c r="O126" i="3" s="1"/>
  <c r="E127" i="3"/>
  <c r="E128" i="3"/>
  <c r="E129" i="3"/>
  <c r="E130" i="3"/>
  <c r="O130" i="3" s="1"/>
  <c r="E131" i="3"/>
  <c r="O131" i="3" s="1"/>
  <c r="E132" i="3"/>
  <c r="E133" i="3"/>
  <c r="E134" i="3"/>
  <c r="E135" i="3"/>
  <c r="E136" i="3"/>
  <c r="E137" i="3"/>
  <c r="E138" i="3"/>
  <c r="E139" i="3"/>
  <c r="E140" i="3"/>
  <c r="E141" i="3"/>
  <c r="O141" i="3" s="1"/>
  <c r="E142" i="3"/>
  <c r="O142" i="3" s="1"/>
  <c r="E143" i="3"/>
  <c r="E144" i="3"/>
  <c r="E145" i="3"/>
  <c r="E146" i="3"/>
  <c r="O146" i="3" s="1"/>
  <c r="E147" i="3"/>
  <c r="O147" i="3" s="1"/>
  <c r="E148" i="3"/>
  <c r="E149" i="3"/>
  <c r="E150" i="3"/>
  <c r="E151" i="3"/>
  <c r="E152" i="3"/>
  <c r="E153" i="3"/>
  <c r="E154" i="3"/>
  <c r="E155" i="3"/>
  <c r="E156" i="3"/>
  <c r="E157" i="3"/>
  <c r="O157" i="3" s="1"/>
  <c r="E158" i="3"/>
  <c r="O158" i="3" s="1"/>
  <c r="E159" i="3"/>
  <c r="E160" i="3"/>
  <c r="E161" i="3"/>
  <c r="E162" i="3"/>
  <c r="O162" i="3" s="1"/>
  <c r="E163" i="3"/>
  <c r="O163" i="3" s="1"/>
  <c r="E164" i="3"/>
  <c r="E165" i="3"/>
  <c r="E166" i="3"/>
  <c r="E167" i="3"/>
  <c r="E168" i="3"/>
  <c r="E169" i="3"/>
  <c r="E170" i="3"/>
  <c r="E171" i="3"/>
  <c r="E172" i="3"/>
  <c r="E173" i="3"/>
  <c r="O173" i="3" s="1"/>
  <c r="E174" i="3"/>
  <c r="O174" i="3" s="1"/>
  <c r="E175" i="3"/>
  <c r="E176" i="3"/>
  <c r="E177" i="3"/>
  <c r="E178" i="3"/>
  <c r="O178" i="3" s="1"/>
  <c r="E179" i="3"/>
  <c r="O179" i="3" s="1"/>
  <c r="E180" i="3"/>
  <c r="E181" i="3"/>
  <c r="E182" i="3"/>
  <c r="E183" i="3"/>
  <c r="E184" i="3"/>
  <c r="E185" i="3"/>
  <c r="E186" i="3"/>
  <c r="E187" i="3"/>
  <c r="E188" i="3"/>
  <c r="E189" i="3"/>
  <c r="O189" i="3" s="1"/>
  <c r="E190" i="3"/>
  <c r="O190" i="3" s="1"/>
  <c r="E191" i="3"/>
  <c r="E192" i="3"/>
  <c r="E193" i="3"/>
  <c r="E194" i="3"/>
  <c r="O194" i="3" s="1"/>
  <c r="E195" i="3"/>
  <c r="O195" i="3" s="1"/>
  <c r="E196" i="3"/>
  <c r="E197" i="3"/>
  <c r="E198" i="3"/>
  <c r="E199" i="3"/>
  <c r="E200" i="3"/>
  <c r="E201" i="3"/>
  <c r="E202" i="3"/>
  <c r="E203" i="3"/>
  <c r="E204" i="3"/>
  <c r="E205" i="3"/>
  <c r="O205" i="3" s="1"/>
  <c r="E206" i="3"/>
  <c r="O206" i="3" s="1"/>
  <c r="E207" i="3"/>
  <c r="E208" i="3"/>
  <c r="E209" i="3"/>
  <c r="E210" i="3"/>
  <c r="O210" i="3" s="1"/>
  <c r="E211" i="3"/>
  <c r="O211" i="3" s="1"/>
  <c r="E212" i="3"/>
  <c r="E213" i="3"/>
  <c r="E214" i="3"/>
  <c r="E215" i="3"/>
  <c r="E216" i="3"/>
  <c r="E217" i="3"/>
  <c r="E218" i="3"/>
  <c r="E219" i="3"/>
  <c r="E220" i="3"/>
  <c r="E221" i="3"/>
  <c r="O221" i="3" s="1"/>
  <c r="E222" i="3"/>
  <c r="O222" i="3" s="1"/>
  <c r="E223" i="3"/>
  <c r="E224" i="3"/>
  <c r="E225" i="3"/>
  <c r="E226" i="3"/>
  <c r="O226" i="3" s="1"/>
  <c r="E227" i="3"/>
  <c r="O227" i="3" s="1"/>
  <c r="E228" i="3"/>
  <c r="E229" i="3"/>
  <c r="E230" i="3"/>
  <c r="E231" i="3"/>
  <c r="E232" i="3"/>
  <c r="E233" i="3"/>
  <c r="E234" i="3"/>
  <c r="E235" i="3"/>
  <c r="E236" i="3"/>
  <c r="E237" i="3"/>
  <c r="O237" i="3" s="1"/>
  <c r="E238" i="3"/>
  <c r="O238" i="3" s="1"/>
  <c r="E239" i="3"/>
  <c r="E240" i="3"/>
  <c r="E3" i="3"/>
  <c r="O3" i="3" s="1"/>
  <c r="E2" i="3"/>
  <c r="W99" i="4"/>
  <c r="W98" i="4"/>
  <c r="W97" i="4"/>
  <c r="W96" i="4"/>
  <c r="U99" i="4"/>
  <c r="U98" i="4"/>
  <c r="U97" i="4"/>
  <c r="U96" i="4"/>
  <c r="S99" i="4"/>
  <c r="S98" i="4"/>
  <c r="S97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" i="5"/>
  <c r="O4" i="3"/>
  <c r="O5" i="3"/>
  <c r="O6" i="3"/>
  <c r="O7" i="3"/>
  <c r="O8" i="3"/>
  <c r="O9" i="3"/>
  <c r="O10" i="3"/>
  <c r="O11" i="3"/>
  <c r="O12" i="3"/>
  <c r="O15" i="3"/>
  <c r="O16" i="3"/>
  <c r="O17" i="3"/>
  <c r="O20" i="3"/>
  <c r="O21" i="3"/>
  <c r="O22" i="3"/>
  <c r="O23" i="3"/>
  <c r="O24" i="3"/>
  <c r="O25" i="3"/>
  <c r="O26" i="3"/>
  <c r="O27" i="3"/>
  <c r="O28" i="3"/>
  <c r="O31" i="3"/>
  <c r="O32" i="3"/>
  <c r="O33" i="3"/>
  <c r="O36" i="3"/>
  <c r="O37" i="3"/>
  <c r="O38" i="3"/>
  <c r="O39" i="3"/>
  <c r="O40" i="3"/>
  <c r="O41" i="3"/>
  <c r="O42" i="3"/>
  <c r="O43" i="3"/>
  <c r="O44" i="3"/>
  <c r="O47" i="3"/>
  <c r="O48" i="3"/>
  <c r="O49" i="3"/>
  <c r="O52" i="3"/>
  <c r="O53" i="3"/>
  <c r="O54" i="3"/>
  <c r="O55" i="3"/>
  <c r="O56" i="3"/>
  <c r="O57" i="3"/>
  <c r="O58" i="3"/>
  <c r="O59" i="3"/>
  <c r="O60" i="3"/>
  <c r="O63" i="3"/>
  <c r="O64" i="3"/>
  <c r="O65" i="3"/>
  <c r="O68" i="3"/>
  <c r="O69" i="3"/>
  <c r="O70" i="3"/>
  <c r="O71" i="3"/>
  <c r="O72" i="3"/>
  <c r="O73" i="3"/>
  <c r="O74" i="3"/>
  <c r="O75" i="3"/>
  <c r="O76" i="3"/>
  <c r="O79" i="3"/>
  <c r="O80" i="3"/>
  <c r="O81" i="3"/>
  <c r="O84" i="3"/>
  <c r="O85" i="3"/>
  <c r="O86" i="3"/>
  <c r="O87" i="3"/>
  <c r="O88" i="3"/>
  <c r="O89" i="3"/>
  <c r="O90" i="3"/>
  <c r="O91" i="3"/>
  <c r="O92" i="3"/>
  <c r="O95" i="3"/>
  <c r="O96" i="3"/>
  <c r="O97" i="3"/>
  <c r="O100" i="3"/>
  <c r="O101" i="3"/>
  <c r="O102" i="3"/>
  <c r="O103" i="3"/>
  <c r="O104" i="3"/>
  <c r="O105" i="3"/>
  <c r="O106" i="3"/>
  <c r="O107" i="3"/>
  <c r="O108" i="3"/>
  <c r="O111" i="3"/>
  <c r="O112" i="3"/>
  <c r="O113" i="3"/>
  <c r="O116" i="3"/>
  <c r="O117" i="3"/>
  <c r="O118" i="3"/>
  <c r="O119" i="3"/>
  <c r="O120" i="3"/>
  <c r="O121" i="3"/>
  <c r="O122" i="3"/>
  <c r="O123" i="3"/>
  <c r="O124" i="3"/>
  <c r="O127" i="3"/>
  <c r="O128" i="3"/>
  <c r="O129" i="3"/>
  <c r="O132" i="3"/>
  <c r="O133" i="3"/>
  <c r="O134" i="3"/>
  <c r="O135" i="3"/>
  <c r="O136" i="3"/>
  <c r="O137" i="3"/>
  <c r="O138" i="3"/>
  <c r="O139" i="3"/>
  <c r="O140" i="3"/>
  <c r="O143" i="3"/>
  <c r="O144" i="3"/>
  <c r="O145" i="3"/>
  <c r="O148" i="3"/>
  <c r="O149" i="3"/>
  <c r="O150" i="3"/>
  <c r="O151" i="3"/>
  <c r="O152" i="3"/>
  <c r="O153" i="3"/>
  <c r="O154" i="3"/>
  <c r="O155" i="3"/>
  <c r="O156" i="3"/>
  <c r="O159" i="3"/>
  <c r="O160" i="3"/>
  <c r="O161" i="3"/>
  <c r="O164" i="3"/>
  <c r="O165" i="3"/>
  <c r="O166" i="3"/>
  <c r="O167" i="3"/>
  <c r="O168" i="3"/>
  <c r="O169" i="3"/>
  <c r="O170" i="3"/>
  <c r="O171" i="3"/>
  <c r="O172" i="3"/>
  <c r="O175" i="3"/>
  <c r="O176" i="3"/>
  <c r="O177" i="3"/>
  <c r="O180" i="3"/>
  <c r="O181" i="3"/>
  <c r="O182" i="3"/>
  <c r="O183" i="3"/>
  <c r="O184" i="3"/>
  <c r="O185" i="3"/>
  <c r="O186" i="3"/>
  <c r="O187" i="3"/>
  <c r="O188" i="3"/>
  <c r="O191" i="3"/>
  <c r="O192" i="3"/>
  <c r="O193" i="3"/>
  <c r="O196" i="3"/>
  <c r="O197" i="3"/>
  <c r="O198" i="3"/>
  <c r="O199" i="3"/>
  <c r="O200" i="3"/>
  <c r="O201" i="3"/>
  <c r="O202" i="3"/>
  <c r="O203" i="3"/>
  <c r="O204" i="3"/>
  <c r="O207" i="3"/>
  <c r="O208" i="3"/>
  <c r="O209" i="3"/>
  <c r="O212" i="3"/>
  <c r="O213" i="3"/>
  <c r="O214" i="3"/>
  <c r="O215" i="3"/>
  <c r="O216" i="3"/>
  <c r="O217" i="3"/>
  <c r="O218" i="3"/>
  <c r="O219" i="3"/>
  <c r="O220" i="3"/>
  <c r="O223" i="3"/>
  <c r="O224" i="3"/>
  <c r="O225" i="3"/>
  <c r="O228" i="3"/>
  <c r="O229" i="3"/>
  <c r="O230" i="3"/>
  <c r="O231" i="3"/>
  <c r="O232" i="3"/>
  <c r="O233" i="3"/>
  <c r="O234" i="3"/>
  <c r="O235" i="3"/>
  <c r="O236" i="3"/>
  <c r="O239" i="3"/>
  <c r="O240" i="3"/>
  <c r="O241" i="3"/>
  <c r="O2" i="3"/>
  <c r="O241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" i="4"/>
  <c r="E182" i="6"/>
  <c r="S56" i="6"/>
  <c r="O62" i="1" l="1"/>
  <c r="S59" i="1"/>
  <c r="O82" i="1"/>
  <c r="U59" i="1"/>
  <c r="O102" i="1"/>
  <c r="W59" i="1"/>
  <c r="O142" i="1"/>
  <c r="U32" i="1"/>
  <c r="S65" i="1"/>
  <c r="O182" i="1"/>
  <c r="O202" i="1"/>
  <c r="U65" i="1"/>
  <c r="U44" i="1"/>
  <c r="O222" i="1"/>
  <c r="W65" i="1"/>
  <c r="U96" i="1"/>
  <c r="W97" i="1"/>
  <c r="U98" i="1"/>
  <c r="S97" i="1"/>
  <c r="W96" i="1"/>
  <c r="W98" i="1"/>
  <c r="S98" i="1"/>
  <c r="S99" i="1"/>
  <c r="U99" i="1"/>
  <c r="U97" i="1"/>
  <c r="W99" i="1"/>
  <c r="S104" i="3"/>
  <c r="U102" i="3"/>
  <c r="U103" i="3"/>
  <c r="S102" i="3"/>
  <c r="U104" i="3"/>
  <c r="U101" i="3"/>
  <c r="W103" i="3"/>
  <c r="W104" i="3"/>
  <c r="S103" i="3"/>
  <c r="W102" i="3"/>
  <c r="W96" i="5"/>
  <c r="U96" i="5"/>
  <c r="S96" i="5"/>
  <c r="W95" i="5"/>
  <c r="U95" i="5"/>
  <c r="S95" i="5"/>
  <c r="W94" i="5"/>
  <c r="U94" i="5"/>
  <c r="S94" i="5"/>
  <c r="W90" i="5"/>
  <c r="U90" i="5"/>
  <c r="S90" i="5"/>
  <c r="W89" i="5"/>
  <c r="U89" i="5"/>
  <c r="S89" i="5"/>
  <c r="W88" i="5"/>
  <c r="U88" i="5"/>
  <c r="S88" i="5"/>
  <c r="W84" i="5"/>
  <c r="U84" i="5"/>
  <c r="S84" i="5"/>
  <c r="W83" i="5"/>
  <c r="U83" i="5"/>
  <c r="S83" i="5"/>
  <c r="W82" i="5"/>
  <c r="U82" i="5"/>
  <c r="S82" i="5"/>
  <c r="S85" i="5"/>
  <c r="U85" i="5"/>
  <c r="W85" i="5"/>
  <c r="W78" i="5"/>
  <c r="U78" i="5"/>
  <c r="S78" i="5"/>
  <c r="W77" i="5"/>
  <c r="U77" i="5"/>
  <c r="S77" i="5"/>
  <c r="W76" i="5"/>
  <c r="U76" i="5"/>
  <c r="S76" i="5"/>
  <c r="W98" i="3"/>
  <c r="U98" i="3"/>
  <c r="S98" i="3"/>
  <c r="W97" i="3"/>
  <c r="U97" i="3"/>
  <c r="S97" i="3"/>
  <c r="W96" i="3"/>
  <c r="U96" i="3"/>
  <c r="S96" i="3"/>
  <c r="W92" i="3"/>
  <c r="U92" i="3"/>
  <c r="S92" i="3"/>
  <c r="W91" i="3"/>
  <c r="U91" i="3"/>
  <c r="S91" i="3"/>
  <c r="W90" i="3"/>
  <c r="U90" i="3"/>
  <c r="S90" i="3"/>
  <c r="W86" i="3"/>
  <c r="U86" i="3"/>
  <c r="S86" i="3"/>
  <c r="W85" i="3"/>
  <c r="U85" i="3"/>
  <c r="S85" i="3"/>
  <c r="W84" i="3"/>
  <c r="U84" i="3"/>
  <c r="S84" i="3"/>
  <c r="W80" i="3"/>
  <c r="U80" i="3"/>
  <c r="S80" i="3"/>
  <c r="W79" i="3"/>
  <c r="U79" i="3"/>
  <c r="S79" i="3"/>
  <c r="W78" i="3"/>
  <c r="U78" i="3"/>
  <c r="S78" i="3"/>
  <c r="W93" i="4"/>
  <c r="U93" i="4"/>
  <c r="S93" i="4"/>
  <c r="W92" i="4"/>
  <c r="U92" i="4"/>
  <c r="S92" i="4"/>
  <c r="W91" i="4"/>
  <c r="U91" i="4"/>
  <c r="S91" i="4"/>
  <c r="W87" i="4"/>
  <c r="U87" i="4"/>
  <c r="S87" i="4"/>
  <c r="W86" i="4"/>
  <c r="U86" i="4"/>
  <c r="S86" i="4"/>
  <c r="W85" i="4"/>
  <c r="U85" i="4"/>
  <c r="S85" i="4"/>
  <c r="W81" i="4"/>
  <c r="U81" i="4"/>
  <c r="S81" i="4"/>
  <c r="W80" i="4"/>
  <c r="U80" i="4"/>
  <c r="S80" i="4"/>
  <c r="W79" i="4"/>
  <c r="U79" i="4"/>
  <c r="S79" i="4"/>
  <c r="W75" i="4"/>
  <c r="U75" i="4"/>
  <c r="S75" i="4"/>
  <c r="W74" i="4"/>
  <c r="U74" i="4"/>
  <c r="S74" i="4"/>
  <c r="W73" i="4"/>
  <c r="U73" i="4"/>
  <c r="S73" i="4"/>
  <c r="W93" i="1"/>
  <c r="U93" i="1"/>
  <c r="S93" i="1"/>
  <c r="W92" i="1"/>
  <c r="U92" i="1"/>
  <c r="S92" i="1"/>
  <c r="W91" i="1"/>
  <c r="U91" i="1"/>
  <c r="S91" i="1"/>
  <c r="W87" i="1"/>
  <c r="U87" i="1"/>
  <c r="S87" i="1"/>
  <c r="W86" i="1"/>
  <c r="U86" i="1"/>
  <c r="S86" i="1"/>
  <c r="W85" i="1"/>
  <c r="U85" i="1"/>
  <c r="S85" i="1"/>
  <c r="W81" i="1"/>
  <c r="U81" i="1"/>
  <c r="S81" i="1"/>
  <c r="W80" i="1"/>
  <c r="U80" i="1"/>
  <c r="S80" i="1"/>
  <c r="W79" i="1"/>
  <c r="U79" i="1"/>
  <c r="S79" i="1"/>
  <c r="W75" i="1"/>
  <c r="U75" i="1"/>
  <c r="S75" i="1"/>
  <c r="W74" i="1"/>
  <c r="U74" i="1"/>
  <c r="S74" i="1"/>
  <c r="W73" i="1"/>
  <c r="U73" i="1"/>
  <c r="S73" i="1"/>
  <c r="W98" i="6"/>
  <c r="U98" i="6"/>
  <c r="S98" i="6"/>
  <c r="W97" i="6"/>
  <c r="U97" i="6"/>
  <c r="S97" i="6"/>
  <c r="W96" i="6"/>
  <c r="U96" i="6"/>
  <c r="S96" i="6"/>
  <c r="W92" i="6"/>
  <c r="U92" i="6"/>
  <c r="S92" i="6"/>
  <c r="W91" i="6"/>
  <c r="U91" i="6"/>
  <c r="S91" i="6"/>
  <c r="W90" i="6"/>
  <c r="U90" i="6"/>
  <c r="S90" i="6"/>
  <c r="W86" i="6"/>
  <c r="U86" i="6"/>
  <c r="S86" i="6"/>
  <c r="W85" i="6"/>
  <c r="U85" i="6"/>
  <c r="S85" i="6"/>
  <c r="W84" i="6"/>
  <c r="U84" i="6"/>
  <c r="S84" i="6"/>
  <c r="W80" i="6"/>
  <c r="U80" i="6"/>
  <c r="S80" i="6"/>
  <c r="W79" i="6"/>
  <c r="U79" i="6"/>
  <c r="S79" i="6"/>
  <c r="W78" i="6"/>
  <c r="U78" i="6"/>
  <c r="S78" i="6"/>
  <c r="S75" i="7"/>
  <c r="U75" i="7"/>
  <c r="W75" i="7"/>
  <c r="S76" i="7"/>
  <c r="U76" i="7"/>
  <c r="W76" i="7"/>
  <c r="S77" i="7"/>
  <c r="U77" i="7"/>
  <c r="W77" i="7"/>
  <c r="S78" i="7"/>
  <c r="U78" i="7"/>
  <c r="W78" i="7"/>
  <c r="S79" i="7"/>
  <c r="U79" i="7"/>
  <c r="W79" i="7"/>
  <c r="S80" i="7"/>
  <c r="U80" i="7"/>
  <c r="W80" i="7"/>
  <c r="S84" i="7"/>
  <c r="U84" i="7"/>
  <c r="W84" i="7"/>
  <c r="S85" i="7"/>
  <c r="U85" i="7"/>
  <c r="W85" i="7"/>
  <c r="S86" i="7"/>
  <c r="U86" i="7"/>
  <c r="W86" i="7"/>
  <c r="S90" i="7"/>
  <c r="U90" i="7"/>
  <c r="W90" i="7"/>
  <c r="S91" i="7"/>
  <c r="U91" i="7"/>
  <c r="W91" i="7"/>
  <c r="S92" i="7"/>
  <c r="U92" i="7"/>
  <c r="W92" i="7"/>
  <c r="S96" i="7"/>
  <c r="U96" i="7"/>
  <c r="W96" i="7"/>
  <c r="S97" i="7"/>
  <c r="U97" i="7"/>
  <c r="W97" i="7"/>
  <c r="S98" i="7"/>
  <c r="U98" i="7"/>
  <c r="W98" i="7"/>
  <c r="W93" i="5"/>
  <c r="U93" i="5"/>
  <c r="S93" i="5"/>
  <c r="W92" i="5"/>
  <c r="U92" i="5"/>
  <c r="S92" i="5"/>
  <c r="W91" i="5"/>
  <c r="U91" i="5"/>
  <c r="S91" i="5"/>
  <c r="W87" i="5"/>
  <c r="U87" i="5"/>
  <c r="S87" i="5"/>
  <c r="W86" i="5"/>
  <c r="U86" i="5"/>
  <c r="S86" i="5"/>
  <c r="W81" i="5"/>
  <c r="U81" i="5"/>
  <c r="S81" i="5"/>
  <c r="W80" i="5"/>
  <c r="U80" i="5"/>
  <c r="S80" i="5"/>
  <c r="W79" i="5"/>
  <c r="U79" i="5"/>
  <c r="S79" i="5"/>
  <c r="W75" i="5"/>
  <c r="U75" i="5"/>
  <c r="S75" i="5"/>
  <c r="W74" i="5"/>
  <c r="U74" i="5"/>
  <c r="S74" i="5"/>
  <c r="W73" i="5"/>
  <c r="U73" i="5"/>
  <c r="S73" i="5"/>
  <c r="W55" i="5"/>
  <c r="U55" i="5"/>
  <c r="S55" i="5"/>
  <c r="W54" i="5"/>
  <c r="U54" i="5"/>
  <c r="S54" i="5"/>
  <c r="W53" i="5"/>
  <c r="U53" i="5"/>
  <c r="S53" i="5"/>
  <c r="W52" i="5"/>
  <c r="U52" i="5"/>
  <c r="S52" i="5"/>
  <c r="W51" i="5"/>
  <c r="U51" i="5"/>
  <c r="S51" i="5"/>
  <c r="W50" i="5"/>
  <c r="U50" i="5"/>
  <c r="S50" i="5"/>
  <c r="W49" i="5"/>
  <c r="U49" i="5"/>
  <c r="S49" i="5"/>
  <c r="W48" i="5"/>
  <c r="U48" i="5"/>
  <c r="S48" i="5"/>
  <c r="W43" i="5"/>
  <c r="U43" i="5"/>
  <c r="S43" i="5"/>
  <c r="W42" i="5"/>
  <c r="U42" i="5"/>
  <c r="S42" i="5"/>
  <c r="W41" i="5"/>
  <c r="U41" i="5"/>
  <c r="S41" i="5"/>
  <c r="W40" i="5"/>
  <c r="U40" i="5"/>
  <c r="S40" i="5"/>
  <c r="W39" i="5"/>
  <c r="U39" i="5"/>
  <c r="S39" i="5"/>
  <c r="W38" i="5"/>
  <c r="U38" i="5"/>
  <c r="S38" i="5"/>
  <c r="W37" i="5"/>
  <c r="U37" i="5"/>
  <c r="S37" i="5"/>
  <c r="W36" i="5"/>
  <c r="U36" i="5"/>
  <c r="S36" i="5"/>
  <c r="W31" i="5"/>
  <c r="U31" i="5"/>
  <c r="S31" i="5"/>
  <c r="W30" i="5"/>
  <c r="U30" i="5"/>
  <c r="S30" i="5"/>
  <c r="W29" i="5"/>
  <c r="U29" i="5"/>
  <c r="S29" i="5"/>
  <c r="W28" i="5"/>
  <c r="U28" i="5"/>
  <c r="S28" i="5"/>
  <c r="W27" i="5"/>
  <c r="U27" i="5"/>
  <c r="S27" i="5"/>
  <c r="W26" i="5"/>
  <c r="U26" i="5"/>
  <c r="S26" i="5"/>
  <c r="W25" i="5"/>
  <c r="U25" i="5"/>
  <c r="S25" i="5"/>
  <c r="W24" i="5"/>
  <c r="U24" i="5"/>
  <c r="S24" i="5"/>
  <c r="W19" i="5"/>
  <c r="U19" i="5"/>
  <c r="S19" i="5"/>
  <c r="W18" i="5"/>
  <c r="U18" i="5"/>
  <c r="S18" i="5"/>
  <c r="W17" i="5"/>
  <c r="U17" i="5"/>
  <c r="S17" i="5"/>
  <c r="W16" i="5"/>
  <c r="U16" i="5"/>
  <c r="S16" i="5"/>
  <c r="W15" i="5"/>
  <c r="U15" i="5"/>
  <c r="S15" i="5"/>
  <c r="W14" i="5"/>
  <c r="U14" i="5"/>
  <c r="S14" i="5"/>
  <c r="W13" i="5"/>
  <c r="U13" i="5"/>
  <c r="S13" i="5"/>
  <c r="W12" i="5"/>
  <c r="U12" i="5"/>
  <c r="S12" i="5"/>
  <c r="W95" i="3"/>
  <c r="U95" i="3"/>
  <c r="S95" i="3"/>
  <c r="W94" i="3"/>
  <c r="U94" i="3"/>
  <c r="S94" i="3"/>
  <c r="W93" i="3"/>
  <c r="U93" i="3"/>
  <c r="S93" i="3"/>
  <c r="W89" i="3"/>
  <c r="U89" i="3"/>
  <c r="S89" i="3"/>
  <c r="W88" i="3"/>
  <c r="U88" i="3"/>
  <c r="S88" i="3"/>
  <c r="W87" i="3"/>
  <c r="U87" i="3"/>
  <c r="S87" i="3"/>
  <c r="W83" i="3"/>
  <c r="U83" i="3"/>
  <c r="S83" i="3"/>
  <c r="W82" i="3"/>
  <c r="U82" i="3"/>
  <c r="S82" i="3"/>
  <c r="W81" i="3"/>
  <c r="U81" i="3"/>
  <c r="S81" i="3"/>
  <c r="W77" i="3"/>
  <c r="U77" i="3"/>
  <c r="S77" i="3"/>
  <c r="W76" i="3"/>
  <c r="U76" i="3"/>
  <c r="S76" i="3"/>
  <c r="W75" i="3"/>
  <c r="U75" i="3"/>
  <c r="S75" i="3"/>
  <c r="U27" i="3"/>
  <c r="W57" i="3"/>
  <c r="U57" i="3"/>
  <c r="S57" i="3"/>
  <c r="W56" i="3"/>
  <c r="U56" i="3"/>
  <c r="S56" i="3"/>
  <c r="W55" i="3"/>
  <c r="U55" i="3"/>
  <c r="S55" i="3"/>
  <c r="W54" i="3"/>
  <c r="U54" i="3"/>
  <c r="S54" i="3"/>
  <c r="W53" i="3"/>
  <c r="U53" i="3"/>
  <c r="S53" i="3"/>
  <c r="W52" i="3"/>
  <c r="U52" i="3"/>
  <c r="S52" i="3"/>
  <c r="W51" i="3"/>
  <c r="U51" i="3"/>
  <c r="S51" i="3"/>
  <c r="W50" i="3"/>
  <c r="U50" i="3"/>
  <c r="S50" i="3"/>
  <c r="W45" i="3"/>
  <c r="U45" i="3"/>
  <c r="S45" i="3"/>
  <c r="W44" i="3"/>
  <c r="U44" i="3"/>
  <c r="S44" i="3"/>
  <c r="W43" i="3"/>
  <c r="U43" i="3"/>
  <c r="S43" i="3"/>
  <c r="W42" i="3"/>
  <c r="U42" i="3"/>
  <c r="S42" i="3"/>
  <c r="W41" i="3"/>
  <c r="U41" i="3"/>
  <c r="S41" i="3"/>
  <c r="W40" i="3"/>
  <c r="U40" i="3"/>
  <c r="S40" i="3"/>
  <c r="W39" i="3"/>
  <c r="U39" i="3"/>
  <c r="S39" i="3"/>
  <c r="W38" i="3"/>
  <c r="U38" i="3"/>
  <c r="S38" i="3"/>
  <c r="W33" i="3"/>
  <c r="U33" i="3"/>
  <c r="S33" i="3"/>
  <c r="W32" i="3"/>
  <c r="U32" i="3"/>
  <c r="S32" i="3"/>
  <c r="W31" i="3"/>
  <c r="U31" i="3"/>
  <c r="S31" i="3"/>
  <c r="W29" i="3"/>
  <c r="U29" i="3"/>
  <c r="S29" i="3"/>
  <c r="W28" i="3"/>
  <c r="U28" i="3"/>
  <c r="S28" i="3"/>
  <c r="W27" i="3"/>
  <c r="S27" i="3"/>
  <c r="W21" i="3"/>
  <c r="U21" i="3"/>
  <c r="S21" i="3"/>
  <c r="W20" i="3"/>
  <c r="U20" i="3"/>
  <c r="S20" i="3"/>
  <c r="W19" i="3"/>
  <c r="U19" i="3"/>
  <c r="S19" i="3"/>
  <c r="W17" i="3"/>
  <c r="U17" i="3"/>
  <c r="S17" i="3"/>
  <c r="W16" i="3"/>
  <c r="U16" i="3"/>
  <c r="S16" i="3"/>
  <c r="W15" i="3"/>
  <c r="U15" i="3"/>
  <c r="S15" i="3"/>
  <c r="W90" i="4"/>
  <c r="U90" i="4"/>
  <c r="S90" i="4"/>
  <c r="W89" i="4"/>
  <c r="U89" i="4"/>
  <c r="S89" i="4"/>
  <c r="W88" i="4"/>
  <c r="U88" i="4"/>
  <c r="S88" i="4"/>
  <c r="W84" i="4"/>
  <c r="U84" i="4"/>
  <c r="S84" i="4"/>
  <c r="W83" i="4"/>
  <c r="U83" i="4"/>
  <c r="S83" i="4"/>
  <c r="W82" i="4"/>
  <c r="U82" i="4"/>
  <c r="S82" i="4"/>
  <c r="W78" i="4"/>
  <c r="U78" i="4"/>
  <c r="S78" i="4"/>
  <c r="W77" i="4"/>
  <c r="U77" i="4"/>
  <c r="S77" i="4"/>
  <c r="W76" i="4"/>
  <c r="U76" i="4"/>
  <c r="S76" i="4"/>
  <c r="W72" i="4"/>
  <c r="U72" i="4"/>
  <c r="S72" i="4"/>
  <c r="W71" i="4"/>
  <c r="U71" i="4"/>
  <c r="S71" i="4"/>
  <c r="W70" i="4"/>
  <c r="U70" i="4"/>
  <c r="S70" i="4"/>
  <c r="S39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U8" i="4" s="1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W20" i="4" s="1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S44" i="4" s="1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" i="4"/>
  <c r="W52" i="4"/>
  <c r="U52" i="4"/>
  <c r="S52" i="4"/>
  <c r="W51" i="4"/>
  <c r="U51" i="4"/>
  <c r="S51" i="4"/>
  <c r="W50" i="4"/>
  <c r="U50" i="4"/>
  <c r="S50" i="4"/>
  <c r="W49" i="4"/>
  <c r="U49" i="4"/>
  <c r="S49" i="4"/>
  <c r="W48" i="4"/>
  <c r="U48" i="4"/>
  <c r="S48" i="4"/>
  <c r="W47" i="4"/>
  <c r="U47" i="4"/>
  <c r="S47" i="4"/>
  <c r="W46" i="4"/>
  <c r="U46" i="4"/>
  <c r="S46" i="4"/>
  <c r="W45" i="4"/>
  <c r="U45" i="4"/>
  <c r="S45" i="4"/>
  <c r="W40" i="4"/>
  <c r="U40" i="4"/>
  <c r="S40" i="4"/>
  <c r="W39" i="4"/>
  <c r="U39" i="4"/>
  <c r="W38" i="4"/>
  <c r="U38" i="4"/>
  <c r="S38" i="4"/>
  <c r="W37" i="4"/>
  <c r="U37" i="4"/>
  <c r="S37" i="4"/>
  <c r="W36" i="4"/>
  <c r="U36" i="4"/>
  <c r="S36" i="4"/>
  <c r="W35" i="4"/>
  <c r="U35" i="4"/>
  <c r="S35" i="4"/>
  <c r="W34" i="4"/>
  <c r="U34" i="4"/>
  <c r="S34" i="4"/>
  <c r="W33" i="4"/>
  <c r="U33" i="4"/>
  <c r="S33" i="4"/>
  <c r="W28" i="4"/>
  <c r="U28" i="4"/>
  <c r="S28" i="4"/>
  <c r="W27" i="4"/>
  <c r="U27" i="4"/>
  <c r="S27" i="4"/>
  <c r="W26" i="4"/>
  <c r="U26" i="4"/>
  <c r="S26" i="4"/>
  <c r="W25" i="4"/>
  <c r="U25" i="4"/>
  <c r="S25" i="4"/>
  <c r="W24" i="4"/>
  <c r="U24" i="4"/>
  <c r="S24" i="4"/>
  <c r="W23" i="4"/>
  <c r="U23" i="4"/>
  <c r="S23" i="4"/>
  <c r="W22" i="4"/>
  <c r="U22" i="4"/>
  <c r="S22" i="4"/>
  <c r="W21" i="4"/>
  <c r="U21" i="4"/>
  <c r="S21" i="4"/>
  <c r="W16" i="4"/>
  <c r="U16" i="4"/>
  <c r="S16" i="4"/>
  <c r="W15" i="4"/>
  <c r="U15" i="4"/>
  <c r="S15" i="4"/>
  <c r="W14" i="4"/>
  <c r="U14" i="4"/>
  <c r="S14" i="4"/>
  <c r="W13" i="4"/>
  <c r="U13" i="4"/>
  <c r="S13" i="4"/>
  <c r="W12" i="4"/>
  <c r="U12" i="4"/>
  <c r="S12" i="4"/>
  <c r="W11" i="4"/>
  <c r="U11" i="4"/>
  <c r="S11" i="4"/>
  <c r="W10" i="4"/>
  <c r="U10" i="4"/>
  <c r="S10" i="4"/>
  <c r="W9" i="4"/>
  <c r="U9" i="4"/>
  <c r="S9" i="4"/>
  <c r="W90" i="1"/>
  <c r="U90" i="1"/>
  <c r="S90" i="1"/>
  <c r="W89" i="1"/>
  <c r="U89" i="1"/>
  <c r="S89" i="1"/>
  <c r="W88" i="1"/>
  <c r="U88" i="1"/>
  <c r="S88" i="1"/>
  <c r="W84" i="1"/>
  <c r="U84" i="1"/>
  <c r="S84" i="1"/>
  <c r="W83" i="1"/>
  <c r="U83" i="1"/>
  <c r="S83" i="1"/>
  <c r="W82" i="1"/>
  <c r="U82" i="1"/>
  <c r="S82" i="1"/>
  <c r="W78" i="1"/>
  <c r="U78" i="1"/>
  <c r="S78" i="1"/>
  <c r="W77" i="1"/>
  <c r="U77" i="1"/>
  <c r="S77" i="1"/>
  <c r="W76" i="1"/>
  <c r="U76" i="1"/>
  <c r="S76" i="1"/>
  <c r="W72" i="1"/>
  <c r="U72" i="1"/>
  <c r="S72" i="1"/>
  <c r="W71" i="1"/>
  <c r="U71" i="1"/>
  <c r="S71" i="1"/>
  <c r="W70" i="1"/>
  <c r="U70" i="1"/>
  <c r="S70" i="1"/>
  <c r="U51" i="1"/>
  <c r="S52" i="1"/>
  <c r="W52" i="1"/>
  <c r="U52" i="1"/>
  <c r="W51" i="1"/>
  <c r="S51" i="1"/>
  <c r="W50" i="1"/>
  <c r="U50" i="1"/>
  <c r="S50" i="1"/>
  <c r="W49" i="1"/>
  <c r="U49" i="1"/>
  <c r="S49" i="1"/>
  <c r="W48" i="1"/>
  <c r="U48" i="1"/>
  <c r="S48" i="1"/>
  <c r="W47" i="1"/>
  <c r="U47" i="1"/>
  <c r="S47" i="1"/>
  <c r="W46" i="1"/>
  <c r="U46" i="1"/>
  <c r="S46" i="1"/>
  <c r="W45" i="1"/>
  <c r="U45" i="1"/>
  <c r="S45" i="1"/>
  <c r="W40" i="1"/>
  <c r="U40" i="1"/>
  <c r="S40" i="1"/>
  <c r="W39" i="1"/>
  <c r="U39" i="1"/>
  <c r="S39" i="1"/>
  <c r="W38" i="1"/>
  <c r="U38" i="1"/>
  <c r="S38" i="1"/>
  <c r="W37" i="1"/>
  <c r="U37" i="1"/>
  <c r="S37" i="1"/>
  <c r="W36" i="1"/>
  <c r="U36" i="1"/>
  <c r="S36" i="1"/>
  <c r="W35" i="1"/>
  <c r="U35" i="1"/>
  <c r="S35" i="1"/>
  <c r="W34" i="1"/>
  <c r="U34" i="1"/>
  <c r="S34" i="1"/>
  <c r="W33" i="1"/>
  <c r="U33" i="1"/>
  <c r="S33" i="1"/>
  <c r="W28" i="1"/>
  <c r="U28" i="1"/>
  <c r="S28" i="1"/>
  <c r="W27" i="1"/>
  <c r="U27" i="1"/>
  <c r="S27" i="1"/>
  <c r="W26" i="1"/>
  <c r="U26" i="1"/>
  <c r="S26" i="1"/>
  <c r="W25" i="1"/>
  <c r="U25" i="1"/>
  <c r="S25" i="1"/>
  <c r="W24" i="1"/>
  <c r="U24" i="1"/>
  <c r="S24" i="1"/>
  <c r="W23" i="1"/>
  <c r="U23" i="1"/>
  <c r="S23" i="1"/>
  <c r="W22" i="1"/>
  <c r="U22" i="1"/>
  <c r="S22" i="1"/>
  <c r="W21" i="1"/>
  <c r="U21" i="1"/>
  <c r="S21" i="1"/>
  <c r="W16" i="1"/>
  <c r="U16" i="1"/>
  <c r="S16" i="1"/>
  <c r="W15" i="1"/>
  <c r="U15" i="1"/>
  <c r="S15" i="1"/>
  <c r="W14" i="1"/>
  <c r="U14" i="1"/>
  <c r="S14" i="1"/>
  <c r="W13" i="1"/>
  <c r="U13" i="1"/>
  <c r="S13" i="1"/>
  <c r="W12" i="1"/>
  <c r="U12" i="1"/>
  <c r="S12" i="1"/>
  <c r="W11" i="1"/>
  <c r="U11" i="1"/>
  <c r="S11" i="1"/>
  <c r="W10" i="1"/>
  <c r="U10" i="1"/>
  <c r="S10" i="1"/>
  <c r="W9" i="1"/>
  <c r="U9" i="1"/>
  <c r="S9" i="1"/>
  <c r="W95" i="6"/>
  <c r="U95" i="6"/>
  <c r="S95" i="6"/>
  <c r="W94" i="6"/>
  <c r="U94" i="6"/>
  <c r="S94" i="6"/>
  <c r="W93" i="6"/>
  <c r="U93" i="6"/>
  <c r="S93" i="6"/>
  <c r="W89" i="6"/>
  <c r="U89" i="6"/>
  <c r="S89" i="6"/>
  <c r="W88" i="6"/>
  <c r="U88" i="6"/>
  <c r="S88" i="6"/>
  <c r="W87" i="6"/>
  <c r="U87" i="6"/>
  <c r="S87" i="6"/>
  <c r="W83" i="6"/>
  <c r="U83" i="6"/>
  <c r="S83" i="6"/>
  <c r="W82" i="6"/>
  <c r="U82" i="6"/>
  <c r="S82" i="6"/>
  <c r="W81" i="6"/>
  <c r="U81" i="6"/>
  <c r="S81" i="6"/>
  <c r="W77" i="6"/>
  <c r="U77" i="6"/>
  <c r="S77" i="6"/>
  <c r="W76" i="6"/>
  <c r="U76" i="6"/>
  <c r="S76" i="6"/>
  <c r="W75" i="6"/>
  <c r="U75" i="6"/>
  <c r="S75" i="6"/>
  <c r="U39" i="6"/>
  <c r="U38" i="6"/>
  <c r="U37" i="6"/>
  <c r="U36" i="6"/>
  <c r="S43" i="6"/>
  <c r="S42" i="6"/>
  <c r="S41" i="6"/>
  <c r="S40" i="6"/>
  <c r="S39" i="6"/>
  <c r="S38" i="6"/>
  <c r="S37" i="6"/>
  <c r="S36" i="6"/>
  <c r="W30" i="6"/>
  <c r="W29" i="6"/>
  <c r="W28" i="6"/>
  <c r="W27" i="6"/>
  <c r="W26" i="6"/>
  <c r="W25" i="6"/>
  <c r="W24" i="6"/>
  <c r="W23" i="6"/>
  <c r="U30" i="6"/>
  <c r="U29" i="6"/>
  <c r="U28" i="6"/>
  <c r="U27" i="6"/>
  <c r="U26" i="6"/>
  <c r="U25" i="6"/>
  <c r="U24" i="6"/>
  <c r="U23" i="6"/>
  <c r="S30" i="6"/>
  <c r="S29" i="6"/>
  <c r="S28" i="6"/>
  <c r="S27" i="6"/>
  <c r="S26" i="6"/>
  <c r="S25" i="6"/>
  <c r="S24" i="6"/>
  <c r="S23" i="6"/>
  <c r="W17" i="6"/>
  <c r="W16" i="6"/>
  <c r="W15" i="6"/>
  <c r="W14" i="6"/>
  <c r="W13" i="6"/>
  <c r="W12" i="6"/>
  <c r="W11" i="6"/>
  <c r="W10" i="6"/>
  <c r="U17" i="6"/>
  <c r="U16" i="6"/>
  <c r="U15" i="6"/>
  <c r="U14" i="6"/>
  <c r="U13" i="6"/>
  <c r="U12" i="6"/>
  <c r="U11" i="6"/>
  <c r="U10" i="6"/>
  <c r="S17" i="6"/>
  <c r="S16" i="6"/>
  <c r="S15" i="6"/>
  <c r="S14" i="6"/>
  <c r="S13" i="6"/>
  <c r="S12" i="6"/>
  <c r="S11" i="6"/>
  <c r="S10" i="6"/>
  <c r="W56" i="6"/>
  <c r="U56" i="6"/>
  <c r="W55" i="6"/>
  <c r="U55" i="6"/>
  <c r="S55" i="6"/>
  <c r="W54" i="6"/>
  <c r="U54" i="6"/>
  <c r="S54" i="6"/>
  <c r="W53" i="6"/>
  <c r="U53" i="6"/>
  <c r="S53" i="6"/>
  <c r="W52" i="6"/>
  <c r="U52" i="6"/>
  <c r="S52" i="6"/>
  <c r="W51" i="6"/>
  <c r="U51" i="6"/>
  <c r="S51" i="6"/>
  <c r="W50" i="6"/>
  <c r="U50" i="6"/>
  <c r="S50" i="6"/>
  <c r="W49" i="6"/>
  <c r="U49" i="6"/>
  <c r="S49" i="6"/>
  <c r="W43" i="6"/>
  <c r="U43" i="6"/>
  <c r="W42" i="6"/>
  <c r="U42" i="6"/>
  <c r="W41" i="6"/>
  <c r="U41" i="6"/>
  <c r="W40" i="6"/>
  <c r="U40" i="6"/>
  <c r="W39" i="6"/>
  <c r="W38" i="6"/>
  <c r="W37" i="6"/>
  <c r="W36" i="6"/>
  <c r="E241" i="7"/>
  <c r="E240" i="7"/>
  <c r="E239" i="7"/>
  <c r="E238" i="7"/>
  <c r="E237" i="7"/>
  <c r="E236" i="7"/>
  <c r="E235" i="7"/>
  <c r="E234" i="7"/>
  <c r="E233" i="7"/>
  <c r="O233" i="7" s="1"/>
  <c r="E232" i="7"/>
  <c r="O232" i="7" s="1"/>
  <c r="E231" i="7"/>
  <c r="E230" i="7"/>
  <c r="O230" i="7" s="1"/>
  <c r="E229" i="7"/>
  <c r="E228" i="7"/>
  <c r="O228" i="7" s="1"/>
  <c r="E227" i="7"/>
  <c r="O227" i="7" s="1"/>
  <c r="E226" i="7"/>
  <c r="O226" i="7" s="1"/>
  <c r="E225" i="7"/>
  <c r="O225" i="7" s="1"/>
  <c r="E224" i="7"/>
  <c r="O224" i="7" s="1"/>
  <c r="E223" i="7"/>
  <c r="E222" i="7"/>
  <c r="O222" i="7" s="1"/>
  <c r="E221" i="7"/>
  <c r="E220" i="7"/>
  <c r="O220" i="7" s="1"/>
  <c r="E219" i="7"/>
  <c r="O219" i="7" s="1"/>
  <c r="E218" i="7"/>
  <c r="O218" i="7" s="1"/>
  <c r="E217" i="7"/>
  <c r="O217" i="7" s="1"/>
  <c r="E216" i="7"/>
  <c r="O216" i="7" s="1"/>
  <c r="E215" i="7"/>
  <c r="E214" i="7"/>
  <c r="O214" i="7" s="1"/>
  <c r="E213" i="7"/>
  <c r="E212" i="7"/>
  <c r="O212" i="7" s="1"/>
  <c r="E211" i="7"/>
  <c r="O211" i="7" s="1"/>
  <c r="E210" i="7"/>
  <c r="O210" i="7" s="1"/>
  <c r="E209" i="7"/>
  <c r="O209" i="7" s="1"/>
  <c r="E208" i="7"/>
  <c r="O208" i="7" s="1"/>
  <c r="E207" i="7"/>
  <c r="E206" i="7"/>
  <c r="O206" i="7" s="1"/>
  <c r="E205" i="7"/>
  <c r="E204" i="7"/>
  <c r="O204" i="7" s="1"/>
  <c r="E203" i="7"/>
  <c r="O203" i="7" s="1"/>
  <c r="E202" i="7"/>
  <c r="O202" i="7" s="1"/>
  <c r="E201" i="7"/>
  <c r="O201" i="7" s="1"/>
  <c r="E200" i="7"/>
  <c r="O200" i="7" s="1"/>
  <c r="E199" i="7"/>
  <c r="E198" i="7"/>
  <c r="O198" i="7" s="1"/>
  <c r="E197" i="7"/>
  <c r="E196" i="7"/>
  <c r="O196" i="7" s="1"/>
  <c r="E195" i="7"/>
  <c r="O195" i="7" s="1"/>
  <c r="E194" i="7"/>
  <c r="O194" i="7" s="1"/>
  <c r="E193" i="7"/>
  <c r="O193" i="7" s="1"/>
  <c r="E192" i="7"/>
  <c r="O192" i="7" s="1"/>
  <c r="E191" i="7"/>
  <c r="E190" i="7"/>
  <c r="O190" i="7" s="1"/>
  <c r="E189" i="7"/>
  <c r="E188" i="7"/>
  <c r="O188" i="7" s="1"/>
  <c r="E187" i="7"/>
  <c r="O187" i="7" s="1"/>
  <c r="E186" i="7"/>
  <c r="O186" i="7" s="1"/>
  <c r="E185" i="7"/>
  <c r="O185" i="7" s="1"/>
  <c r="E184" i="7"/>
  <c r="O184" i="7" s="1"/>
  <c r="E183" i="7"/>
  <c r="E182" i="7"/>
  <c r="O182" i="7" s="1"/>
  <c r="E181" i="7"/>
  <c r="E180" i="7"/>
  <c r="O180" i="7" s="1"/>
  <c r="E179" i="7"/>
  <c r="O179" i="7" s="1"/>
  <c r="E178" i="7"/>
  <c r="O178" i="7" s="1"/>
  <c r="E177" i="7"/>
  <c r="O177" i="7" s="1"/>
  <c r="E176" i="7"/>
  <c r="O176" i="7" s="1"/>
  <c r="E175" i="7"/>
  <c r="E174" i="7"/>
  <c r="O174" i="7" s="1"/>
  <c r="E173" i="7"/>
  <c r="E172" i="7"/>
  <c r="O172" i="7" s="1"/>
  <c r="E171" i="7"/>
  <c r="O171" i="7" s="1"/>
  <c r="E170" i="7"/>
  <c r="O170" i="7" s="1"/>
  <c r="E169" i="7"/>
  <c r="O169" i="7" s="1"/>
  <c r="E168" i="7"/>
  <c r="O168" i="7" s="1"/>
  <c r="E167" i="7"/>
  <c r="E166" i="7"/>
  <c r="O166" i="7" s="1"/>
  <c r="E165" i="7"/>
  <c r="E164" i="7"/>
  <c r="O164" i="7" s="1"/>
  <c r="E163" i="7"/>
  <c r="O163" i="7" s="1"/>
  <c r="E162" i="7"/>
  <c r="O162" i="7" s="1"/>
  <c r="E161" i="7"/>
  <c r="O161" i="7" s="1"/>
  <c r="E160" i="7"/>
  <c r="O160" i="7" s="1"/>
  <c r="E159" i="7"/>
  <c r="E158" i="7"/>
  <c r="O158" i="7" s="1"/>
  <c r="E157" i="7"/>
  <c r="E156" i="7"/>
  <c r="O156" i="7" s="1"/>
  <c r="E155" i="7"/>
  <c r="O155" i="7" s="1"/>
  <c r="E154" i="7"/>
  <c r="O154" i="7" s="1"/>
  <c r="E153" i="7"/>
  <c r="O153" i="7" s="1"/>
  <c r="E152" i="7"/>
  <c r="O152" i="7" s="1"/>
  <c r="E151" i="7"/>
  <c r="E150" i="7"/>
  <c r="O150" i="7" s="1"/>
  <c r="E149" i="7"/>
  <c r="E148" i="7"/>
  <c r="O148" i="7" s="1"/>
  <c r="E147" i="7"/>
  <c r="O147" i="7" s="1"/>
  <c r="E146" i="7"/>
  <c r="O146" i="7" s="1"/>
  <c r="E145" i="7"/>
  <c r="O145" i="7" s="1"/>
  <c r="E144" i="7"/>
  <c r="O144" i="7" s="1"/>
  <c r="E143" i="7"/>
  <c r="E142" i="7"/>
  <c r="O142" i="7" s="1"/>
  <c r="E141" i="7"/>
  <c r="E140" i="7"/>
  <c r="O140" i="7" s="1"/>
  <c r="E139" i="7"/>
  <c r="O139" i="7" s="1"/>
  <c r="E138" i="7"/>
  <c r="O138" i="7" s="1"/>
  <c r="E137" i="7"/>
  <c r="O137" i="7" s="1"/>
  <c r="E136" i="7"/>
  <c r="O136" i="7" s="1"/>
  <c r="E135" i="7"/>
  <c r="E134" i="7"/>
  <c r="O134" i="7" s="1"/>
  <c r="E133" i="7"/>
  <c r="E132" i="7"/>
  <c r="O132" i="7" s="1"/>
  <c r="E131" i="7"/>
  <c r="O131" i="7" s="1"/>
  <c r="E130" i="7"/>
  <c r="O130" i="7" s="1"/>
  <c r="E129" i="7"/>
  <c r="O129" i="7" s="1"/>
  <c r="E128" i="7"/>
  <c r="O128" i="7" s="1"/>
  <c r="E127" i="7"/>
  <c r="E126" i="7"/>
  <c r="O126" i="7" s="1"/>
  <c r="E125" i="7"/>
  <c r="E124" i="7"/>
  <c r="O124" i="7" s="1"/>
  <c r="E123" i="7"/>
  <c r="O123" i="7" s="1"/>
  <c r="E122" i="7"/>
  <c r="O122" i="7" s="1"/>
  <c r="E121" i="7"/>
  <c r="O121" i="7" s="1"/>
  <c r="E120" i="7"/>
  <c r="O120" i="7" s="1"/>
  <c r="E119" i="7"/>
  <c r="E118" i="7"/>
  <c r="O118" i="7" s="1"/>
  <c r="E117" i="7"/>
  <c r="E116" i="7"/>
  <c r="O116" i="7" s="1"/>
  <c r="E115" i="7"/>
  <c r="O115" i="7" s="1"/>
  <c r="E114" i="7"/>
  <c r="O114" i="7" s="1"/>
  <c r="E113" i="7"/>
  <c r="O113" i="7" s="1"/>
  <c r="E112" i="7"/>
  <c r="O112" i="7" s="1"/>
  <c r="E111" i="7"/>
  <c r="E110" i="7"/>
  <c r="O110" i="7" s="1"/>
  <c r="E109" i="7"/>
  <c r="E108" i="7"/>
  <c r="O108" i="7" s="1"/>
  <c r="E107" i="7"/>
  <c r="O107" i="7" s="1"/>
  <c r="E106" i="7"/>
  <c r="O106" i="7" s="1"/>
  <c r="E105" i="7"/>
  <c r="O105" i="7" s="1"/>
  <c r="E104" i="7"/>
  <c r="O104" i="7" s="1"/>
  <c r="E103" i="7"/>
  <c r="E102" i="7"/>
  <c r="O102" i="7" s="1"/>
  <c r="E101" i="7"/>
  <c r="E100" i="7"/>
  <c r="O100" i="7" s="1"/>
  <c r="E99" i="7"/>
  <c r="O99" i="7" s="1"/>
  <c r="E98" i="7"/>
  <c r="O98" i="7" s="1"/>
  <c r="E97" i="7"/>
  <c r="O97" i="7" s="1"/>
  <c r="E96" i="7"/>
  <c r="O96" i="7" s="1"/>
  <c r="E95" i="7"/>
  <c r="E94" i="7"/>
  <c r="O94" i="7" s="1"/>
  <c r="E93" i="7"/>
  <c r="E92" i="7"/>
  <c r="O92" i="7" s="1"/>
  <c r="E91" i="7"/>
  <c r="O91" i="7" s="1"/>
  <c r="E90" i="7"/>
  <c r="O90" i="7" s="1"/>
  <c r="E89" i="7"/>
  <c r="O89" i="7" s="1"/>
  <c r="E88" i="7"/>
  <c r="O88" i="7" s="1"/>
  <c r="E87" i="7"/>
  <c r="E86" i="7"/>
  <c r="O86" i="7" s="1"/>
  <c r="E85" i="7"/>
  <c r="E84" i="7"/>
  <c r="O84" i="7" s="1"/>
  <c r="E83" i="7"/>
  <c r="O83" i="7" s="1"/>
  <c r="E82" i="7"/>
  <c r="O82" i="7" s="1"/>
  <c r="E81" i="7"/>
  <c r="O81" i="7" s="1"/>
  <c r="E80" i="7"/>
  <c r="O80" i="7" s="1"/>
  <c r="E79" i="7"/>
  <c r="E78" i="7"/>
  <c r="O78" i="7" s="1"/>
  <c r="E77" i="7"/>
  <c r="E76" i="7"/>
  <c r="O76" i="7" s="1"/>
  <c r="E75" i="7"/>
  <c r="O75" i="7" s="1"/>
  <c r="E74" i="7"/>
  <c r="O74" i="7" s="1"/>
  <c r="E73" i="7"/>
  <c r="E72" i="7"/>
  <c r="O72" i="7" s="1"/>
  <c r="E71" i="7"/>
  <c r="E70" i="7"/>
  <c r="E69" i="7"/>
  <c r="E68" i="7"/>
  <c r="E67" i="7"/>
  <c r="O67" i="7" s="1"/>
  <c r="E66" i="7"/>
  <c r="O66" i="7" s="1"/>
  <c r="E65" i="7"/>
  <c r="O65" i="7" s="1"/>
  <c r="E64" i="7"/>
  <c r="O64" i="7" s="1"/>
  <c r="E63" i="7"/>
  <c r="E62" i="7"/>
  <c r="O62" i="7" s="1"/>
  <c r="E61" i="7"/>
  <c r="E60" i="7"/>
  <c r="E59" i="7"/>
  <c r="O59" i="7" s="1"/>
  <c r="E58" i="7"/>
  <c r="W57" i="7"/>
  <c r="U57" i="7"/>
  <c r="S57" i="7"/>
  <c r="E57" i="7"/>
  <c r="O57" i="7" s="1"/>
  <c r="W56" i="7"/>
  <c r="U56" i="7"/>
  <c r="S56" i="7"/>
  <c r="E56" i="7"/>
  <c r="W55" i="7"/>
  <c r="U55" i="7"/>
  <c r="S55" i="7"/>
  <c r="E55" i="7"/>
  <c r="O55" i="7" s="1"/>
  <c r="W54" i="7"/>
  <c r="U54" i="7"/>
  <c r="S54" i="7"/>
  <c r="E54" i="7"/>
  <c r="W53" i="7"/>
  <c r="U53" i="7"/>
  <c r="S53" i="7"/>
  <c r="E53" i="7"/>
  <c r="O53" i="7" s="1"/>
  <c r="W52" i="7"/>
  <c r="U52" i="7"/>
  <c r="S52" i="7"/>
  <c r="E52" i="7"/>
  <c r="O52" i="7" s="1"/>
  <c r="W51" i="7"/>
  <c r="U51" i="7"/>
  <c r="S51" i="7"/>
  <c r="E51" i="7"/>
  <c r="O51" i="7" s="1"/>
  <c r="W50" i="7"/>
  <c r="U50" i="7"/>
  <c r="S50" i="7"/>
  <c r="E50" i="7"/>
  <c r="O50" i="7" s="1"/>
  <c r="E49" i="7"/>
  <c r="O49" i="7" s="1"/>
  <c r="E48" i="7"/>
  <c r="O48" i="7" s="1"/>
  <c r="E47" i="7"/>
  <c r="E46" i="7"/>
  <c r="O46" i="7" s="1"/>
  <c r="W45" i="7"/>
  <c r="U45" i="7"/>
  <c r="S45" i="7"/>
  <c r="E45" i="7"/>
  <c r="O45" i="7" s="1"/>
  <c r="W44" i="7"/>
  <c r="U44" i="7"/>
  <c r="S44" i="7"/>
  <c r="E44" i="7"/>
  <c r="O44" i="7" s="1"/>
  <c r="W43" i="7"/>
  <c r="U43" i="7"/>
  <c r="S43" i="7"/>
  <c r="E43" i="7"/>
  <c r="O43" i="7" s="1"/>
  <c r="W42" i="7"/>
  <c r="U42" i="7"/>
  <c r="S42" i="7"/>
  <c r="E42" i="7"/>
  <c r="W41" i="7"/>
  <c r="U41" i="7"/>
  <c r="S41" i="7"/>
  <c r="E41" i="7"/>
  <c r="W40" i="7"/>
  <c r="U40" i="7"/>
  <c r="S40" i="7"/>
  <c r="E40" i="7"/>
  <c r="W39" i="7"/>
  <c r="U39" i="7"/>
  <c r="S39" i="7"/>
  <c r="E39" i="7"/>
  <c r="O39" i="7" s="1"/>
  <c r="W38" i="7"/>
  <c r="U38" i="7"/>
  <c r="S38" i="7"/>
  <c r="E38" i="7"/>
  <c r="O38" i="7" s="1"/>
  <c r="E37" i="7"/>
  <c r="O37" i="7" s="1"/>
  <c r="E36" i="7"/>
  <c r="O36" i="7" s="1"/>
  <c r="E35" i="7"/>
  <c r="E34" i="7"/>
  <c r="O34" i="7" s="1"/>
  <c r="W33" i="7"/>
  <c r="U33" i="7"/>
  <c r="S33" i="7"/>
  <c r="E33" i="7"/>
  <c r="O33" i="7" s="1"/>
  <c r="W32" i="7"/>
  <c r="U32" i="7"/>
  <c r="S32" i="7"/>
  <c r="E32" i="7"/>
  <c r="O32" i="7" s="1"/>
  <c r="W31" i="7"/>
  <c r="U31" i="7"/>
  <c r="S31" i="7"/>
  <c r="E31" i="7"/>
  <c r="O31" i="7" s="1"/>
  <c r="W30" i="7"/>
  <c r="U30" i="7"/>
  <c r="S30" i="7"/>
  <c r="E30" i="7"/>
  <c r="W29" i="7"/>
  <c r="U29" i="7"/>
  <c r="S29" i="7"/>
  <c r="E29" i="7"/>
  <c r="O29" i="7" s="1"/>
  <c r="W28" i="7"/>
  <c r="U28" i="7"/>
  <c r="S28" i="7"/>
  <c r="E28" i="7"/>
  <c r="W27" i="7"/>
  <c r="U27" i="7"/>
  <c r="S27" i="7"/>
  <c r="E27" i="7"/>
  <c r="O27" i="7" s="1"/>
  <c r="W26" i="7"/>
  <c r="U26" i="7"/>
  <c r="S26" i="7"/>
  <c r="E26" i="7"/>
  <c r="O26" i="7" s="1"/>
  <c r="E25" i="7"/>
  <c r="O25" i="7" s="1"/>
  <c r="E24" i="7"/>
  <c r="O24" i="7" s="1"/>
  <c r="E23" i="7"/>
  <c r="O23" i="7" s="1"/>
  <c r="E22" i="7"/>
  <c r="W21" i="7"/>
  <c r="U21" i="7"/>
  <c r="S21" i="7"/>
  <c r="E21" i="7"/>
  <c r="O21" i="7" s="1"/>
  <c r="W20" i="7"/>
  <c r="U20" i="7"/>
  <c r="S20" i="7"/>
  <c r="E20" i="7"/>
  <c r="O20" i="7" s="1"/>
  <c r="W19" i="7"/>
  <c r="U19" i="7"/>
  <c r="S19" i="7"/>
  <c r="E19" i="7"/>
  <c r="O19" i="7" s="1"/>
  <c r="W18" i="7"/>
  <c r="U18" i="7"/>
  <c r="S18" i="7"/>
  <c r="E18" i="7"/>
  <c r="O18" i="7" s="1"/>
  <c r="W17" i="7"/>
  <c r="U17" i="7"/>
  <c r="S17" i="7"/>
  <c r="E17" i="7"/>
  <c r="O17" i="7" s="1"/>
  <c r="W16" i="7"/>
  <c r="U16" i="7"/>
  <c r="S16" i="7"/>
  <c r="E16" i="7"/>
  <c r="O16" i="7" s="1"/>
  <c r="W15" i="7"/>
  <c r="U15" i="7"/>
  <c r="S15" i="7"/>
  <c r="E15" i="7"/>
  <c r="W14" i="7"/>
  <c r="U14" i="7"/>
  <c r="S14" i="7"/>
  <c r="E14" i="7"/>
  <c r="E13" i="7"/>
  <c r="O13" i="7" s="1"/>
  <c r="E12" i="7"/>
  <c r="O12" i="7" s="1"/>
  <c r="E11" i="7"/>
  <c r="E10" i="7"/>
  <c r="E9" i="7"/>
  <c r="O9" i="7" s="1"/>
  <c r="E8" i="7"/>
  <c r="O8" i="7" s="1"/>
  <c r="E7" i="7"/>
  <c r="O7" i="7" s="1"/>
  <c r="E6" i="7"/>
  <c r="E5" i="7"/>
  <c r="O5" i="7" s="1"/>
  <c r="E4" i="7"/>
  <c r="O4" i="7" s="1"/>
  <c r="E3" i="7"/>
  <c r="E2" i="7"/>
  <c r="W49" i="7" l="1"/>
  <c r="O10" i="7"/>
  <c r="O3" i="7"/>
  <c r="O95" i="7"/>
  <c r="O159" i="7"/>
  <c r="O223" i="7"/>
  <c r="W104" i="7" s="1"/>
  <c r="O35" i="7"/>
  <c r="O133" i="7"/>
  <c r="O173" i="7"/>
  <c r="O47" i="7"/>
  <c r="O60" i="7"/>
  <c r="O77" i="7"/>
  <c r="O141" i="7"/>
  <c r="O205" i="7"/>
  <c r="U104" i="7" s="1"/>
  <c r="O40" i="7"/>
  <c r="S13" i="7"/>
  <c r="O2" i="7"/>
  <c r="S101" i="7" s="1"/>
  <c r="O109" i="7"/>
  <c r="U61" i="7"/>
  <c r="O22" i="7"/>
  <c r="U101" i="7" s="1"/>
  <c r="O61" i="7"/>
  <c r="O87" i="7"/>
  <c r="O151" i="7"/>
  <c r="O215" i="7"/>
  <c r="O234" i="7"/>
  <c r="O207" i="7"/>
  <c r="O235" i="7"/>
  <c r="O236" i="7"/>
  <c r="O69" i="7"/>
  <c r="O189" i="7"/>
  <c r="O11" i="7"/>
  <c r="S49" i="7"/>
  <c r="O70" i="7"/>
  <c r="O135" i="7"/>
  <c r="O199" i="7"/>
  <c r="O237" i="7"/>
  <c r="O125" i="7"/>
  <c r="S103" i="7" s="1"/>
  <c r="O41" i="7"/>
  <c r="O71" i="7"/>
  <c r="O117" i="7"/>
  <c r="O181" i="7"/>
  <c r="O238" i="7"/>
  <c r="S37" i="7"/>
  <c r="O63" i="7"/>
  <c r="S102" i="7" s="1"/>
  <c r="O127" i="7"/>
  <c r="O191" i="7"/>
  <c r="O239" i="7"/>
  <c r="O240" i="7"/>
  <c r="O73" i="7"/>
  <c r="O119" i="7"/>
  <c r="O183" i="7"/>
  <c r="S104" i="7" s="1"/>
  <c r="O241" i="7"/>
  <c r="O143" i="7"/>
  <c r="U103" i="7" s="1"/>
  <c r="O101" i="7"/>
  <c r="O165" i="7"/>
  <c r="W103" i="7" s="1"/>
  <c r="O229" i="7"/>
  <c r="O197" i="7"/>
  <c r="O68" i="7"/>
  <c r="O14" i="7"/>
  <c r="W61" i="7"/>
  <c r="O42" i="7"/>
  <c r="W101" i="7" s="1"/>
  <c r="W13" i="7"/>
  <c r="O54" i="7"/>
  <c r="O111" i="7"/>
  <c r="O175" i="7"/>
  <c r="O56" i="7"/>
  <c r="U25" i="7"/>
  <c r="O93" i="7"/>
  <c r="O157" i="7"/>
  <c r="O221" i="7"/>
  <c r="O79" i="7"/>
  <c r="W25" i="7"/>
  <c r="O6" i="7"/>
  <c r="O30" i="7"/>
  <c r="O58" i="7"/>
  <c r="O103" i="7"/>
  <c r="W102" i="7" s="1"/>
  <c r="O167" i="7"/>
  <c r="O231" i="7"/>
  <c r="U13" i="7"/>
  <c r="O28" i="7"/>
  <c r="O15" i="7"/>
  <c r="O85" i="7"/>
  <c r="U102" i="7" s="1"/>
  <c r="O149" i="7"/>
  <c r="O213" i="7"/>
  <c r="S8" i="4"/>
  <c r="W32" i="4"/>
  <c r="U20" i="4"/>
  <c r="W44" i="4"/>
  <c r="U44" i="4"/>
  <c r="U32" i="4"/>
  <c r="S32" i="4"/>
  <c r="S20" i="4"/>
  <c r="W8" i="4"/>
  <c r="U37" i="7"/>
  <c r="W37" i="7"/>
  <c r="U49" i="7"/>
  <c r="S61" i="7"/>
  <c r="S25" i="7"/>
  <c r="E3" i="6" l="1"/>
  <c r="O3" i="6" s="1"/>
  <c r="E4" i="6"/>
  <c r="O4" i="6" s="1"/>
  <c r="E5" i="6"/>
  <c r="O5" i="6" s="1"/>
  <c r="E6" i="6"/>
  <c r="O6" i="6" s="1"/>
  <c r="E7" i="6"/>
  <c r="O7" i="6" s="1"/>
  <c r="E8" i="6"/>
  <c r="O8" i="6" s="1"/>
  <c r="E9" i="6"/>
  <c r="O9" i="6" s="1"/>
  <c r="E10" i="6"/>
  <c r="O10" i="6" s="1"/>
  <c r="E11" i="6"/>
  <c r="O11" i="6" s="1"/>
  <c r="E12" i="6"/>
  <c r="O12" i="6" s="1"/>
  <c r="E13" i="6"/>
  <c r="O13" i="6" s="1"/>
  <c r="E14" i="6"/>
  <c r="O14" i="6" s="1"/>
  <c r="E15" i="6"/>
  <c r="O15" i="6" s="1"/>
  <c r="E16" i="6"/>
  <c r="O16" i="6" s="1"/>
  <c r="E17" i="6"/>
  <c r="O17" i="6" s="1"/>
  <c r="E18" i="6"/>
  <c r="O18" i="6" s="1"/>
  <c r="E19" i="6"/>
  <c r="O19" i="6" s="1"/>
  <c r="E20" i="6"/>
  <c r="O20" i="6" s="1"/>
  <c r="E21" i="6"/>
  <c r="O21" i="6" s="1"/>
  <c r="E22" i="6"/>
  <c r="O22" i="6" s="1"/>
  <c r="E23" i="6"/>
  <c r="O23" i="6" s="1"/>
  <c r="E24" i="6"/>
  <c r="O24" i="6" s="1"/>
  <c r="E25" i="6"/>
  <c r="O25" i="6" s="1"/>
  <c r="E26" i="6"/>
  <c r="O26" i="6" s="1"/>
  <c r="E27" i="6"/>
  <c r="O27" i="6" s="1"/>
  <c r="E28" i="6"/>
  <c r="O28" i="6" s="1"/>
  <c r="E29" i="6"/>
  <c r="O29" i="6" s="1"/>
  <c r="E30" i="6"/>
  <c r="O30" i="6" s="1"/>
  <c r="E31" i="6"/>
  <c r="O31" i="6" s="1"/>
  <c r="E32" i="6"/>
  <c r="O32" i="6" s="1"/>
  <c r="E33" i="6"/>
  <c r="O33" i="6" s="1"/>
  <c r="E34" i="6"/>
  <c r="O34" i="6" s="1"/>
  <c r="E35" i="6"/>
  <c r="O35" i="6" s="1"/>
  <c r="E36" i="6"/>
  <c r="O36" i="6" s="1"/>
  <c r="E37" i="6"/>
  <c r="O37" i="6" s="1"/>
  <c r="E38" i="6"/>
  <c r="O38" i="6" s="1"/>
  <c r="E39" i="6"/>
  <c r="O39" i="6" s="1"/>
  <c r="E40" i="6"/>
  <c r="O40" i="6" s="1"/>
  <c r="E41" i="6"/>
  <c r="O41" i="6" s="1"/>
  <c r="E42" i="6"/>
  <c r="O42" i="6" s="1"/>
  <c r="E43" i="6"/>
  <c r="O43" i="6" s="1"/>
  <c r="E44" i="6"/>
  <c r="O44" i="6" s="1"/>
  <c r="E45" i="6"/>
  <c r="O45" i="6" s="1"/>
  <c r="E46" i="6"/>
  <c r="O46" i="6" s="1"/>
  <c r="E47" i="6"/>
  <c r="O47" i="6" s="1"/>
  <c r="E48" i="6"/>
  <c r="O48" i="6" s="1"/>
  <c r="E49" i="6"/>
  <c r="O49" i="6" s="1"/>
  <c r="E50" i="6"/>
  <c r="O50" i="6" s="1"/>
  <c r="E51" i="6"/>
  <c r="O51" i="6" s="1"/>
  <c r="E52" i="6"/>
  <c r="O52" i="6" s="1"/>
  <c r="E53" i="6"/>
  <c r="O53" i="6" s="1"/>
  <c r="E54" i="6"/>
  <c r="O54" i="6" s="1"/>
  <c r="E55" i="6"/>
  <c r="O55" i="6" s="1"/>
  <c r="E56" i="6"/>
  <c r="O56" i="6" s="1"/>
  <c r="E57" i="6"/>
  <c r="O57" i="6" s="1"/>
  <c r="E58" i="6"/>
  <c r="O58" i="6" s="1"/>
  <c r="E59" i="6"/>
  <c r="O59" i="6" s="1"/>
  <c r="E60" i="6"/>
  <c r="O60" i="6" s="1"/>
  <c r="E61" i="6"/>
  <c r="O61" i="6" s="1"/>
  <c r="E62" i="6"/>
  <c r="O62" i="6" s="1"/>
  <c r="E63" i="6"/>
  <c r="O63" i="6" s="1"/>
  <c r="E64" i="6"/>
  <c r="O64" i="6" s="1"/>
  <c r="E65" i="6"/>
  <c r="O65" i="6" s="1"/>
  <c r="E66" i="6"/>
  <c r="O66" i="6" s="1"/>
  <c r="E67" i="6"/>
  <c r="O67" i="6" s="1"/>
  <c r="E68" i="6"/>
  <c r="O68" i="6" s="1"/>
  <c r="E69" i="6"/>
  <c r="O69" i="6" s="1"/>
  <c r="E70" i="6"/>
  <c r="O70" i="6" s="1"/>
  <c r="E71" i="6"/>
  <c r="O71" i="6" s="1"/>
  <c r="E72" i="6"/>
  <c r="O72" i="6" s="1"/>
  <c r="E73" i="6"/>
  <c r="O73" i="6" s="1"/>
  <c r="E74" i="6"/>
  <c r="O74" i="6" s="1"/>
  <c r="E75" i="6"/>
  <c r="O75" i="6" s="1"/>
  <c r="E76" i="6"/>
  <c r="O76" i="6" s="1"/>
  <c r="E77" i="6"/>
  <c r="O77" i="6" s="1"/>
  <c r="E78" i="6"/>
  <c r="O78" i="6" s="1"/>
  <c r="E79" i="6"/>
  <c r="O79" i="6" s="1"/>
  <c r="E80" i="6"/>
  <c r="O80" i="6" s="1"/>
  <c r="E81" i="6"/>
  <c r="O81" i="6" s="1"/>
  <c r="E82" i="6"/>
  <c r="E83" i="6"/>
  <c r="O83" i="6" s="1"/>
  <c r="E84" i="6"/>
  <c r="O84" i="6" s="1"/>
  <c r="E85" i="6"/>
  <c r="O85" i="6" s="1"/>
  <c r="E86" i="6"/>
  <c r="O86" i="6" s="1"/>
  <c r="E87" i="6"/>
  <c r="O87" i="6" s="1"/>
  <c r="E88" i="6"/>
  <c r="O88" i="6" s="1"/>
  <c r="E89" i="6"/>
  <c r="O89" i="6" s="1"/>
  <c r="E90" i="6"/>
  <c r="O90" i="6" s="1"/>
  <c r="E91" i="6"/>
  <c r="O91" i="6" s="1"/>
  <c r="E92" i="6"/>
  <c r="O92" i="6" s="1"/>
  <c r="E93" i="6"/>
  <c r="O93" i="6" s="1"/>
  <c r="E94" i="6"/>
  <c r="O94" i="6" s="1"/>
  <c r="E95" i="6"/>
  <c r="O95" i="6" s="1"/>
  <c r="E96" i="6"/>
  <c r="O96" i="6" s="1"/>
  <c r="E97" i="6"/>
  <c r="O97" i="6" s="1"/>
  <c r="E98" i="6"/>
  <c r="O98" i="6" s="1"/>
  <c r="E99" i="6"/>
  <c r="O99" i="6" s="1"/>
  <c r="E100" i="6"/>
  <c r="O100" i="6" s="1"/>
  <c r="E101" i="6"/>
  <c r="O101" i="6" s="1"/>
  <c r="E102" i="6"/>
  <c r="O102" i="6" s="1"/>
  <c r="E103" i="6"/>
  <c r="O103" i="6" s="1"/>
  <c r="E104" i="6"/>
  <c r="O104" i="6" s="1"/>
  <c r="E105" i="6"/>
  <c r="O105" i="6" s="1"/>
  <c r="E106" i="6"/>
  <c r="O106" i="6" s="1"/>
  <c r="E107" i="6"/>
  <c r="O107" i="6" s="1"/>
  <c r="E108" i="6"/>
  <c r="O108" i="6" s="1"/>
  <c r="E109" i="6"/>
  <c r="O109" i="6" s="1"/>
  <c r="E110" i="6"/>
  <c r="O110" i="6" s="1"/>
  <c r="E111" i="6"/>
  <c r="O111" i="6" s="1"/>
  <c r="E112" i="6"/>
  <c r="O112" i="6" s="1"/>
  <c r="E113" i="6"/>
  <c r="O113" i="6" s="1"/>
  <c r="E114" i="6"/>
  <c r="O114" i="6" s="1"/>
  <c r="E115" i="6"/>
  <c r="O115" i="6" s="1"/>
  <c r="E116" i="6"/>
  <c r="O116" i="6" s="1"/>
  <c r="E117" i="6"/>
  <c r="O117" i="6" s="1"/>
  <c r="E118" i="6"/>
  <c r="O118" i="6" s="1"/>
  <c r="E119" i="6"/>
  <c r="O119" i="6" s="1"/>
  <c r="E120" i="6"/>
  <c r="O120" i="6" s="1"/>
  <c r="E121" i="6"/>
  <c r="O121" i="6" s="1"/>
  <c r="E122" i="6"/>
  <c r="O122" i="6" s="1"/>
  <c r="E123" i="6"/>
  <c r="O123" i="6" s="1"/>
  <c r="E124" i="6"/>
  <c r="O124" i="6" s="1"/>
  <c r="E125" i="6"/>
  <c r="O125" i="6" s="1"/>
  <c r="E126" i="6"/>
  <c r="O126" i="6" s="1"/>
  <c r="E127" i="6"/>
  <c r="O127" i="6" s="1"/>
  <c r="E128" i="6"/>
  <c r="O128" i="6" s="1"/>
  <c r="E129" i="6"/>
  <c r="O129" i="6" s="1"/>
  <c r="E130" i="6"/>
  <c r="O130" i="6" s="1"/>
  <c r="E131" i="6"/>
  <c r="O131" i="6" s="1"/>
  <c r="E132" i="6"/>
  <c r="O132" i="6" s="1"/>
  <c r="E133" i="6"/>
  <c r="O133" i="6" s="1"/>
  <c r="E134" i="6"/>
  <c r="O134" i="6" s="1"/>
  <c r="E135" i="6"/>
  <c r="O135" i="6" s="1"/>
  <c r="E136" i="6"/>
  <c r="O136" i="6" s="1"/>
  <c r="E137" i="6"/>
  <c r="O137" i="6" s="1"/>
  <c r="E138" i="6"/>
  <c r="O138" i="6" s="1"/>
  <c r="E139" i="6"/>
  <c r="O139" i="6" s="1"/>
  <c r="E140" i="6"/>
  <c r="O140" i="6" s="1"/>
  <c r="E141" i="6"/>
  <c r="O141" i="6" s="1"/>
  <c r="E142" i="6"/>
  <c r="O142" i="6" s="1"/>
  <c r="E143" i="6"/>
  <c r="O143" i="6" s="1"/>
  <c r="E144" i="6"/>
  <c r="O144" i="6" s="1"/>
  <c r="E145" i="6"/>
  <c r="O145" i="6" s="1"/>
  <c r="E146" i="6"/>
  <c r="O146" i="6" s="1"/>
  <c r="E147" i="6"/>
  <c r="O147" i="6" s="1"/>
  <c r="E148" i="6"/>
  <c r="O148" i="6" s="1"/>
  <c r="E149" i="6"/>
  <c r="O149" i="6" s="1"/>
  <c r="E150" i="6"/>
  <c r="O150" i="6" s="1"/>
  <c r="E151" i="6"/>
  <c r="O151" i="6" s="1"/>
  <c r="E152" i="6"/>
  <c r="O152" i="6" s="1"/>
  <c r="E153" i="6"/>
  <c r="O153" i="6" s="1"/>
  <c r="E154" i="6"/>
  <c r="O154" i="6" s="1"/>
  <c r="E155" i="6"/>
  <c r="O155" i="6" s="1"/>
  <c r="E156" i="6"/>
  <c r="O156" i="6" s="1"/>
  <c r="E157" i="6"/>
  <c r="O157" i="6" s="1"/>
  <c r="E158" i="6"/>
  <c r="O158" i="6" s="1"/>
  <c r="E159" i="6"/>
  <c r="O159" i="6" s="1"/>
  <c r="E160" i="6"/>
  <c r="O160" i="6" s="1"/>
  <c r="E161" i="6"/>
  <c r="O161" i="6" s="1"/>
  <c r="E162" i="6"/>
  <c r="E163" i="6"/>
  <c r="O163" i="6" s="1"/>
  <c r="E164" i="6"/>
  <c r="O164" i="6" s="1"/>
  <c r="E165" i="6"/>
  <c r="O165" i="6" s="1"/>
  <c r="E166" i="6"/>
  <c r="O166" i="6" s="1"/>
  <c r="E167" i="6"/>
  <c r="O167" i="6" s="1"/>
  <c r="E168" i="6"/>
  <c r="O168" i="6" s="1"/>
  <c r="E169" i="6"/>
  <c r="O169" i="6" s="1"/>
  <c r="E170" i="6"/>
  <c r="O170" i="6" s="1"/>
  <c r="E171" i="6"/>
  <c r="O171" i="6" s="1"/>
  <c r="E172" i="6"/>
  <c r="O172" i="6" s="1"/>
  <c r="E173" i="6"/>
  <c r="O173" i="6" s="1"/>
  <c r="E174" i="6"/>
  <c r="O174" i="6" s="1"/>
  <c r="E175" i="6"/>
  <c r="O175" i="6" s="1"/>
  <c r="E176" i="6"/>
  <c r="O176" i="6" s="1"/>
  <c r="E177" i="6"/>
  <c r="O177" i="6" s="1"/>
  <c r="E178" i="6"/>
  <c r="O178" i="6" s="1"/>
  <c r="E179" i="6"/>
  <c r="O179" i="6" s="1"/>
  <c r="E180" i="6"/>
  <c r="O180" i="6" s="1"/>
  <c r="E181" i="6"/>
  <c r="O181" i="6" s="1"/>
  <c r="O182" i="6"/>
  <c r="E183" i="6"/>
  <c r="O183" i="6" s="1"/>
  <c r="E184" i="6"/>
  <c r="O184" i="6" s="1"/>
  <c r="E185" i="6"/>
  <c r="O185" i="6" s="1"/>
  <c r="E186" i="6"/>
  <c r="O186" i="6" s="1"/>
  <c r="E187" i="6"/>
  <c r="O187" i="6" s="1"/>
  <c r="E188" i="6"/>
  <c r="O188" i="6" s="1"/>
  <c r="E189" i="6"/>
  <c r="O189" i="6" s="1"/>
  <c r="E190" i="6"/>
  <c r="O190" i="6" s="1"/>
  <c r="E191" i="6"/>
  <c r="O191" i="6" s="1"/>
  <c r="E192" i="6"/>
  <c r="O192" i="6" s="1"/>
  <c r="E193" i="6"/>
  <c r="O193" i="6" s="1"/>
  <c r="E194" i="6"/>
  <c r="O194" i="6" s="1"/>
  <c r="E195" i="6"/>
  <c r="O195" i="6" s="1"/>
  <c r="E196" i="6"/>
  <c r="O196" i="6" s="1"/>
  <c r="E197" i="6"/>
  <c r="O197" i="6" s="1"/>
  <c r="E198" i="6"/>
  <c r="O198" i="6" s="1"/>
  <c r="E199" i="6"/>
  <c r="O199" i="6" s="1"/>
  <c r="E200" i="6"/>
  <c r="O200" i="6" s="1"/>
  <c r="E201" i="6"/>
  <c r="O201" i="6" s="1"/>
  <c r="E202" i="6"/>
  <c r="O202" i="6" s="1"/>
  <c r="E203" i="6"/>
  <c r="O203" i="6" s="1"/>
  <c r="E204" i="6"/>
  <c r="O204" i="6" s="1"/>
  <c r="E205" i="6"/>
  <c r="O205" i="6" s="1"/>
  <c r="E206" i="6"/>
  <c r="O206" i="6" s="1"/>
  <c r="E207" i="6"/>
  <c r="O207" i="6" s="1"/>
  <c r="E208" i="6"/>
  <c r="O208" i="6" s="1"/>
  <c r="E209" i="6"/>
  <c r="O209" i="6" s="1"/>
  <c r="E210" i="6"/>
  <c r="O210" i="6" s="1"/>
  <c r="E211" i="6"/>
  <c r="O211" i="6" s="1"/>
  <c r="E212" i="6"/>
  <c r="O212" i="6" s="1"/>
  <c r="E213" i="6"/>
  <c r="O213" i="6" s="1"/>
  <c r="E214" i="6"/>
  <c r="O214" i="6" s="1"/>
  <c r="E215" i="6"/>
  <c r="O215" i="6" s="1"/>
  <c r="E216" i="6"/>
  <c r="O216" i="6" s="1"/>
  <c r="E217" i="6"/>
  <c r="O217" i="6" s="1"/>
  <c r="E218" i="6"/>
  <c r="O218" i="6" s="1"/>
  <c r="E219" i="6"/>
  <c r="O219" i="6" s="1"/>
  <c r="E220" i="6"/>
  <c r="O220" i="6" s="1"/>
  <c r="E221" i="6"/>
  <c r="O221" i="6" s="1"/>
  <c r="E222" i="6"/>
  <c r="O222" i="6" s="1"/>
  <c r="E223" i="6"/>
  <c r="O223" i="6" s="1"/>
  <c r="E224" i="6"/>
  <c r="O224" i="6" s="1"/>
  <c r="E225" i="6"/>
  <c r="O225" i="6" s="1"/>
  <c r="E226" i="6"/>
  <c r="O226" i="6" s="1"/>
  <c r="E227" i="6"/>
  <c r="O227" i="6" s="1"/>
  <c r="E228" i="6"/>
  <c r="O228" i="6" s="1"/>
  <c r="E229" i="6"/>
  <c r="O229" i="6" s="1"/>
  <c r="E230" i="6"/>
  <c r="O230" i="6" s="1"/>
  <c r="E231" i="6"/>
  <c r="O231" i="6" s="1"/>
  <c r="E232" i="6"/>
  <c r="O232" i="6" s="1"/>
  <c r="E233" i="6"/>
  <c r="O233" i="6" s="1"/>
  <c r="E234" i="6"/>
  <c r="O234" i="6" s="1"/>
  <c r="E235" i="6"/>
  <c r="O235" i="6" s="1"/>
  <c r="E236" i="6"/>
  <c r="O236" i="6" s="1"/>
  <c r="E237" i="6"/>
  <c r="O237" i="6" s="1"/>
  <c r="E238" i="6"/>
  <c r="O238" i="6" s="1"/>
  <c r="E239" i="6"/>
  <c r="O239" i="6" s="1"/>
  <c r="E240" i="6"/>
  <c r="O240" i="6" s="1"/>
  <c r="E241" i="6"/>
  <c r="O241" i="6" s="1"/>
  <c r="E2" i="6"/>
  <c r="O2" i="6" s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U23" i="5" s="1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W35" i="5" s="1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" i="5"/>
  <c r="S11" i="5" s="1"/>
  <c r="O3" i="1"/>
  <c r="S96" i="1" s="1"/>
  <c r="U20" i="1"/>
  <c r="W32" i="1"/>
  <c r="W11" i="5" l="1"/>
  <c r="W47" i="5"/>
  <c r="S35" i="5"/>
  <c r="U35" i="5"/>
  <c r="S47" i="5"/>
  <c r="W23" i="5"/>
  <c r="U11" i="5"/>
  <c r="S23" i="5"/>
  <c r="U47" i="5"/>
  <c r="W49" i="3"/>
  <c r="S49" i="3"/>
  <c r="W37" i="3"/>
  <c r="U49" i="3"/>
  <c r="U44" i="6"/>
  <c r="U103" i="6"/>
  <c r="S31" i="6"/>
  <c r="S102" i="6"/>
  <c r="U104" i="6"/>
  <c r="U57" i="6"/>
  <c r="S44" i="6"/>
  <c r="S103" i="6"/>
  <c r="W18" i="6"/>
  <c r="W101" i="6"/>
  <c r="S57" i="6"/>
  <c r="S104" i="6"/>
  <c r="W31" i="6"/>
  <c r="W102" i="6"/>
  <c r="U18" i="6"/>
  <c r="U101" i="6"/>
  <c r="W104" i="6"/>
  <c r="W57" i="6"/>
  <c r="S9" i="6"/>
  <c r="W35" i="6"/>
  <c r="O162" i="6"/>
  <c r="U22" i="6"/>
  <c r="O82" i="6"/>
  <c r="W8" i="1"/>
  <c r="S32" i="1"/>
  <c r="S44" i="1"/>
  <c r="W20" i="1"/>
  <c r="U8" i="1"/>
  <c r="S20" i="1"/>
  <c r="W44" i="1"/>
  <c r="S8" i="1"/>
  <c r="S22" i="6"/>
  <c r="W48" i="6"/>
  <c r="U48" i="6"/>
  <c r="S35" i="6"/>
  <c r="W9" i="6"/>
  <c r="U35" i="6"/>
  <c r="U9" i="6"/>
  <c r="S48" i="6"/>
  <c r="W22" i="6"/>
  <c r="W103" i="6" l="1"/>
  <c r="W44" i="6"/>
  <c r="S18" i="6"/>
  <c r="S101" i="6"/>
  <c r="U31" i="6"/>
  <c r="U102" i="6"/>
</calcChain>
</file>

<file path=xl/sharedStrings.xml><?xml version="1.0" encoding="utf-8"?>
<sst xmlns="http://schemas.openxmlformats.org/spreadsheetml/2006/main" count="3971" uniqueCount="1513">
  <si>
    <t>Classe 1</t>
  </si>
  <si>
    <t>Classe 2</t>
  </si>
  <si>
    <t>Classe 3</t>
  </si>
  <si>
    <t>Clase 4</t>
  </si>
  <si>
    <t>8 caractéres</t>
  </si>
  <si>
    <t>16 caractéres</t>
  </si>
  <si>
    <t>12 caractéres</t>
  </si>
  <si>
    <t>cqgspman</t>
  </si>
  <si>
    <t>Senha</t>
  </si>
  <si>
    <t>Força PM</t>
  </si>
  <si>
    <t>mtxckzqr</t>
  </si>
  <si>
    <t>jtbnydii</t>
  </si>
  <si>
    <t>dwzskofj</t>
  </si>
  <si>
    <t>soijcqxc</t>
  </si>
  <si>
    <t>dsaicfsj</t>
  </si>
  <si>
    <t>scjgdxxv</t>
  </si>
  <si>
    <t>fazoqdyu</t>
  </si>
  <si>
    <t>fgktsikd</t>
  </si>
  <si>
    <t>vaenayva</t>
  </si>
  <si>
    <t>pwcbfbkd</t>
  </si>
  <si>
    <t>gzgasgka</t>
  </si>
  <si>
    <t>thmahfvg</t>
  </si>
  <si>
    <t>skraepjc</t>
  </si>
  <si>
    <t>huhzcnbo</t>
  </si>
  <si>
    <t>ouafapxc</t>
  </si>
  <si>
    <t>foargnsv</t>
  </si>
  <si>
    <t>vbcdodio</t>
  </si>
  <si>
    <t>korumnkz</t>
  </si>
  <si>
    <t>zgbphecn</t>
  </si>
  <si>
    <t>xuimgusnawzk</t>
  </si>
  <si>
    <t>qneeoevoztcz</t>
  </si>
  <si>
    <t>ojckoqexcpro</t>
  </si>
  <si>
    <t>tqrexycadrec</t>
  </si>
  <si>
    <t>okwordzrujfr</t>
  </si>
  <si>
    <t>jrtzddgrjqmt</t>
  </si>
  <si>
    <t>jvtgvhrstkvt</t>
  </si>
  <si>
    <t>zdvppuywtfua</t>
  </si>
  <si>
    <t>uuhwvaymqbbc</t>
  </si>
  <si>
    <t>jzrumucxrisc</t>
  </si>
  <si>
    <t>yudkxggurtjw</t>
  </si>
  <si>
    <t>dggnwbiumegy</t>
  </si>
  <si>
    <t>hypqbmysibzr</t>
  </si>
  <si>
    <t>qiuahkzvhezw</t>
  </si>
  <si>
    <t>mhywetrnzphh</t>
  </si>
  <si>
    <t>onzdgrdssmnc</t>
  </si>
  <si>
    <t>goeokmbkcfvp</t>
  </si>
  <si>
    <t>sebgqjucrdsv</t>
  </si>
  <si>
    <t>qpcxmiqieycs</t>
  </si>
  <si>
    <t>rwmakpinvohh</t>
  </si>
  <si>
    <t>uyqqufsctpjtxzxh</t>
  </si>
  <si>
    <t>xfqiitwyaagehuat</t>
  </si>
  <si>
    <t>Média</t>
  </si>
  <si>
    <t>bcintesivfyfojsf</t>
  </si>
  <si>
    <t>cbotfemgnrswpyhp</t>
  </si>
  <si>
    <t>qfsagmftnrduhwic</t>
  </si>
  <si>
    <t>xiugqkwtgdvyqkny</t>
  </si>
  <si>
    <t>yoxipceuutxukjor</t>
  </si>
  <si>
    <t>oeydbtwdugjyyfwz</t>
  </si>
  <si>
    <t>abjtdxhmcmstbdre</t>
  </si>
  <si>
    <t>wuchwbxjwtqpkpfm</t>
  </si>
  <si>
    <t>jtjaawesbbmfareb</t>
  </si>
  <si>
    <t>zmhwdrcaxrfvfruk</t>
  </si>
  <si>
    <t>czjcxpgnnzpfyano</t>
  </si>
  <si>
    <t>ujfjobzsdhhsbecz</t>
  </si>
  <si>
    <t>cgnguoeapyaktvnj</t>
  </si>
  <si>
    <t>aadbmjmxfizeqdth</t>
  </si>
  <si>
    <t>oqyxkdsbrahhtcdz</t>
  </si>
  <si>
    <t>xkdgjxcuteaecbid</t>
  </si>
  <si>
    <t>kesvyuftaaxavvnu</t>
  </si>
  <si>
    <t>asyfudtszouzzfhf</t>
  </si>
  <si>
    <t>qumvoJTd</t>
  </si>
  <si>
    <t>Kvbjdsfg</t>
  </si>
  <si>
    <t>ZZKRyDNR</t>
  </si>
  <si>
    <t>mqagecus</t>
  </si>
  <si>
    <t>bnUYQAwv</t>
  </si>
  <si>
    <t>diCAsvEk</t>
  </si>
  <si>
    <t>QXGFCwor</t>
  </si>
  <si>
    <t>MPbXBAUY</t>
  </si>
  <si>
    <t>uLmsjzjW</t>
  </si>
  <si>
    <t>YxiRjnrX</t>
  </si>
  <si>
    <t>XjHndzcj</t>
  </si>
  <si>
    <t>kzHBBjDV</t>
  </si>
  <si>
    <t>doarWWza</t>
  </si>
  <si>
    <t>uKfbzPxw</t>
  </si>
  <si>
    <t>boXnwDkn</t>
  </si>
  <si>
    <t>sFWjccNt</t>
  </si>
  <si>
    <t>FSypnskS</t>
  </si>
  <si>
    <t>PBJvMuUv</t>
  </si>
  <si>
    <t>ZeQnkYgQ</t>
  </si>
  <si>
    <t>wuALMknZ</t>
  </si>
  <si>
    <t>oebByLxvhqjN</t>
  </si>
  <si>
    <t>SdUSpJaanfdg</t>
  </si>
  <si>
    <t>duTFocPkFNYZ</t>
  </si>
  <si>
    <t>YJdEwiCNbBUG</t>
  </si>
  <si>
    <t>nPeShhAngUVR</t>
  </si>
  <si>
    <t>sYkstUszseZM</t>
  </si>
  <si>
    <t>KAHqYSfCesQY</t>
  </si>
  <si>
    <t>zZijfKafPfTs</t>
  </si>
  <si>
    <t>zMVuLisneNhs</t>
  </si>
  <si>
    <t>NhpVeVRSaerA</t>
  </si>
  <si>
    <t>SYjomsHNrvmj</t>
  </si>
  <si>
    <t>rVbdcdKhxDZn</t>
  </si>
  <si>
    <t>UiauuuTydvmi</t>
  </si>
  <si>
    <t>mJDkExRqLhJL</t>
  </si>
  <si>
    <t>bTojtugGqHmh</t>
  </si>
  <si>
    <t>JFJgVAjxTkKY</t>
  </si>
  <si>
    <t>PKWXaZCNnccn</t>
  </si>
  <si>
    <t>UwHoXPQgmarP</t>
  </si>
  <si>
    <t>hoSxgiqkdBmv</t>
  </si>
  <si>
    <t>JbkUvTyMWoJE</t>
  </si>
  <si>
    <t>gZgPFvxDytesUjJg</t>
  </si>
  <si>
    <t>vcYVafUicxPMHCgv</t>
  </si>
  <si>
    <t>LcYBfTeMieUSjXbm</t>
  </si>
  <si>
    <t>CHuVDgUKfuwGZDHB</t>
  </si>
  <si>
    <t>VaExJdztdhuEhxay</t>
  </si>
  <si>
    <t>MLtCosZwcrtmuZGv</t>
  </si>
  <si>
    <t>CposxrNfNhVrgZoY</t>
  </si>
  <si>
    <t>AfxGVideaFeqXpDx</t>
  </si>
  <si>
    <t>MVfuJUQCLEidYEhr</t>
  </si>
  <si>
    <t>TuVTFxUBmriiAqqc</t>
  </si>
  <si>
    <t>tDdbVCMLuGVNAwRe</t>
  </si>
  <si>
    <t>JUTvtvMqqFBAVzhY</t>
  </si>
  <si>
    <t>jceukNvfHmUfgJec</t>
  </si>
  <si>
    <t>XdtRFqYbZFZvffiL</t>
  </si>
  <si>
    <t>icrdXjnuDSPmgzhL</t>
  </si>
  <si>
    <t>nZYcwtameroXVEii</t>
  </si>
  <si>
    <t>mzKgJTmWBzUDukuD</t>
  </si>
  <si>
    <t>gYSYooszKUVMwuNb</t>
  </si>
  <si>
    <t>wnBXcjnLBtoCdnTd</t>
  </si>
  <si>
    <t>pVGbAJhdXtGehWdY</t>
  </si>
  <si>
    <t>!*;Svwxs</t>
  </si>
  <si>
    <t>P?ZTBjS_</t>
  </si>
  <si>
    <t>]!ke[V[V</t>
  </si>
  <si>
    <t>njJr[hc+</t>
  </si>
  <si>
    <t>G&gt;T^rnrR</t>
  </si>
  <si>
    <t>kecgZ&gt;]n</t>
  </si>
  <si>
    <t>;HBC%RHJ</t>
  </si>
  <si>
    <t>c/bY].&gt;i</t>
  </si>
  <si>
    <t>!}]W:adz</t>
  </si>
  <si>
    <t>_G-Yno(n</t>
  </si>
  <si>
    <t>BY1TRnSC</t>
  </si>
  <si>
    <t>mZkf6RkY</t>
  </si>
  <si>
    <t>FK2UrW7c</t>
  </si>
  <si>
    <t>N6bcaoDJ</t>
  </si>
  <si>
    <t>16WoaGQU</t>
  </si>
  <si>
    <t>h2DysfXz</t>
  </si>
  <si>
    <t>AiHaWJ3L</t>
  </si>
  <si>
    <t>TAtRfRxZ</t>
  </si>
  <si>
    <t>TdrhEPNt</t>
  </si>
  <si>
    <t>opk1nGsj</t>
  </si>
  <si>
    <t>XRnJveorYMa_</t>
  </si>
  <si>
    <t>t.Wi!cdB/Bhk</t>
  </si>
  <si>
    <t>/K+ad%g_gp't</t>
  </si>
  <si>
    <t>WUUxyg^fgST&amp;</t>
  </si>
  <si>
    <t>AddbA/c&gt;dXq:</t>
  </si>
  <si>
    <t>^:$&amp;ksycU:Dg</t>
  </si>
  <si>
    <t>^j}cBEW[tNNk</t>
  </si>
  <si>
    <t>)MKC#KE~t[PQ</t>
  </si>
  <si>
    <t>&amp;ty;ZKqjU:WD</t>
  </si>
  <si>
    <t>DUKek$F}M]Cm</t>
  </si>
  <si>
    <t>aX8dcXhUKa9f</t>
  </si>
  <si>
    <t>mwUzVJaQokg8</t>
  </si>
  <si>
    <t>2ZprPnKmY7it</t>
  </si>
  <si>
    <t>z6wcZvceCsZP</t>
  </si>
  <si>
    <t>rDZSeHY1mmc3</t>
  </si>
  <si>
    <t>rR6P4cpZnSY9</t>
  </si>
  <si>
    <t>mv6zgmjmTgiZ</t>
  </si>
  <si>
    <t>LvmhWAqdefdZ</t>
  </si>
  <si>
    <t>A3YV7D7vbPFz</t>
  </si>
  <si>
    <t>Got1Er6us9j6</t>
  </si>
  <si>
    <t>3B3PVoBfFVChnfeM</t>
  </si>
  <si>
    <t>gSkXN5xMwMovdtrY</t>
  </si>
  <si>
    <t>W8PXNa2CUEYG9dJp</t>
  </si>
  <si>
    <t>gSBmKki4HprsYBW6</t>
  </si>
  <si>
    <t>wJN5acxTABy2chy5</t>
  </si>
  <si>
    <t>Avhvejj2KRRwZDzW</t>
  </si>
  <si>
    <t>DAQnENqTpekCSUiG</t>
  </si>
  <si>
    <t>9bwvkivkgzqSdLvM</t>
  </si>
  <si>
    <t>wkdb4aXAji1rs5r4</t>
  </si>
  <si>
    <t>bjCW1YtsGYJKsML4</t>
  </si>
  <si>
    <t>bxQxJZ}#ykfCB+g%</t>
  </si>
  <si>
    <t>Forte</t>
  </si>
  <si>
    <t>vK^H,hAh+JfS}x+J</t>
  </si>
  <si>
    <t>tFBgmtr{g&gt;[:;*mi</t>
  </si>
  <si>
    <t>fo'HUGu&gt;gwoCPj\$</t>
  </si>
  <si>
    <t>]g&amp;Fq\(%v&lt;;NzWRo</t>
  </si>
  <si>
    <t>gn"H/dxFauF,npTc</t>
  </si>
  <si>
    <t>NdR@tDk;c-&lt;jrQne</t>
  </si>
  <si>
    <t>ffv;]:,P*]HLV[iD</t>
  </si>
  <si>
    <t>n/PtdtA_f^z?fht#</t>
  </si>
  <si>
    <t>$vSrCyyf&gt;%T[u[Du</t>
  </si>
  <si>
    <t>p/~W\v+w</t>
  </si>
  <si>
    <t>3W"'r4!q</t>
  </si>
  <si>
    <t>;}Lq-$Fn</t>
  </si>
  <si>
    <t>(YRhctr'</t>
  </si>
  <si>
    <t>-:/-]kH</t>
  </si>
  <si>
    <t>Y&gt;,CF,A3</t>
  </si>
  <si>
    <t>z?Y8xJ+;</t>
  </si>
  <si>
    <t>'[MnKiJd</t>
  </si>
  <si>
    <t>ut;,79XG</t>
  </si>
  <si>
    <t>e&gt;8&lt;C!</t>
  </si>
  <si>
    <t>]TX)LK4M</t>
  </si>
  <si>
    <t>-&lt;"&gt;:M$d</t>
  </si>
  <si>
    <t>?y!FnBF[</t>
  </si>
  <si>
    <t>sBT-Dg9/</t>
  </si>
  <si>
    <t>Cs:,aqC,</t>
  </si>
  <si>
    <t>-5pBstGG</t>
  </si>
  <si>
    <t>Rgfsgj*W</t>
  </si>
  <si>
    <t>H$n&amp;bcNW</t>
  </si>
  <si>
    <t>,5$q;1hE</t>
  </si>
  <si>
    <t>9-HH(&amp;bS</t>
  </si>
  <si>
    <t>qPLj}+iJC?Nw</t>
  </si>
  <si>
    <t>FB?La%6]$nW.</t>
  </si>
  <si>
    <t>4cK7%7pntf!N</t>
  </si>
  <si>
    <t>\oYV/TP(HvdZ</t>
  </si>
  <si>
    <t>@JRMdEd5b@QB</t>
  </si>
  <si>
    <t>Dx&gt;n&lt;cV';o&amp;-</t>
  </si>
  <si>
    <t>ZjW5AJ7mosor</t>
  </si>
  <si>
    <t>@-&lt;Z4jHY[*dG</t>
  </si>
  <si>
    <t>GC'Cv;T?1b&amp;5</t>
  </si>
  <si>
    <t>j9]+/(4sG^d"</t>
  </si>
  <si>
    <t>xS8Njm*j?)Rw</t>
  </si>
  <si>
    <t>]ar*B:&lt;HS"sR</t>
  </si>
  <si>
    <t>[KZrUSt@;\9X</t>
  </si>
  <si>
    <t>Y_&amp;[Ve.u+#q%</t>
  </si>
  <si>
    <t>({CkpkYkD?'r</t>
  </si>
  <si>
    <t>z.)\KBNb#raC</t>
  </si>
  <si>
    <t>d.)T?7o-g9S(</t>
  </si>
  <si>
    <t>.?R+AvLtr'hF</t>
  </si>
  <si>
    <t>f1jzM~)iF^+}</t>
  </si>
  <si>
    <t>*YD&lt;p9Rj['LM</t>
  </si>
  <si>
    <t>kn.!&amp;F{d.p{&lt;oR2g</t>
  </si>
  <si>
    <t>w&lt;4Fs/\y4y/n_SVw</t>
  </si>
  <si>
    <t>'Tz6f#75Lh-kXjq.</t>
  </si>
  <si>
    <t>sWhsh!PR&gt;M{?%GLE</t>
  </si>
  <si>
    <t>i#iwbiRWXjMK28y~</t>
  </si>
  <si>
    <t>iX8jea#LU?S5*2?r</t>
  </si>
  <si>
    <t>L7b**%Rh}!qFz,WL</t>
  </si>
  <si>
    <t>d.77/er6E4Jk'YYx</t>
  </si>
  <si>
    <t>]!_V)-&lt;5$s$3NYw4</t>
  </si>
  <si>
    <t>sup_akF\4XBJcLAy</t>
  </si>
  <si>
    <t>Eoy-c+NSk/ypYrX9</t>
  </si>
  <si>
    <t>Db?@'@A{qn#USG~(</t>
  </si>
  <si>
    <t>S_9]XBoT;+kb83C;</t>
  </si>
  <si>
    <t>BJ\wsp$KoXuNH]GB</t>
  </si>
  <si>
    <t>&gt;Y,rz4yf-W6aCUi1</t>
  </si>
  <si>
    <t>SnYWx%ZaJt.NFj[q</t>
  </si>
  <si>
    <t>hBXAMCt~$mCF#~*a</t>
  </si>
  <si>
    <t>:GEr%o+#7%NUv-RL</t>
  </si>
  <si>
    <t>}b+UJw~2yaD6&lt;3X:</t>
  </si>
  <si>
    <t>*"'_QnQ)%GzQ2G&lt;[</t>
  </si>
  <si>
    <t>dljgskpl</t>
  </si>
  <si>
    <t>ndnaprtw</t>
  </si>
  <si>
    <t>ecuyyiny</t>
  </si>
  <si>
    <t>mleosgtz</t>
  </si>
  <si>
    <t>yavssmdf</t>
  </si>
  <si>
    <t>ievltgfk</t>
  </si>
  <si>
    <t>xqpnswgx</t>
  </si>
  <si>
    <t>mymunalb</t>
  </si>
  <si>
    <t>zgjnylbf</t>
  </si>
  <si>
    <t>lrjjqxij</t>
  </si>
  <si>
    <t>yjkumaqt</t>
  </si>
  <si>
    <t>nyliagxq</t>
  </si>
  <si>
    <t>qyksmtrz</t>
  </si>
  <si>
    <t>exlpvura</t>
  </si>
  <si>
    <t>bcjkvaja</t>
  </si>
  <si>
    <t>jwxukjun</t>
  </si>
  <si>
    <t>iexcccxu</t>
  </si>
  <si>
    <t>gbvfwhnd</t>
  </si>
  <si>
    <t>lwsqmerz</t>
  </si>
  <si>
    <t>lvzqtcba</t>
  </si>
  <si>
    <t>Fraca</t>
  </si>
  <si>
    <t>rgucvgstiidz</t>
  </si>
  <si>
    <t>cfwavhvzjuhi</t>
  </si>
  <si>
    <t>rnlinwgbwghs</t>
  </si>
  <si>
    <t>xzrasnfgpues</t>
  </si>
  <si>
    <t>wedwxejgdtqr</t>
  </si>
  <si>
    <t>upurxrglgmby</t>
  </si>
  <si>
    <t>jqimmaoashxx</t>
  </si>
  <si>
    <t>ouqjilashsvd</t>
  </si>
  <si>
    <t>fpsqyqkabpuf</t>
  </si>
  <si>
    <t>ucfilwsxfqvj</t>
  </si>
  <si>
    <t>iesoqysrmeja</t>
  </si>
  <si>
    <t>etultrzukbdy</t>
  </si>
  <si>
    <t>znidyimcamma</t>
  </si>
  <si>
    <t>xpngoblyvubf</t>
  </si>
  <si>
    <t>exadslqvudrl</t>
  </si>
  <si>
    <t>zrtawwsmjsao</t>
  </si>
  <si>
    <t>smbkoengugkp</t>
  </si>
  <si>
    <t>akmpnadshdtz</t>
  </si>
  <si>
    <t>tnsvdjhcbqrh</t>
  </si>
  <si>
    <t>lbybvgcdlpkk</t>
  </si>
  <si>
    <t>hzvazndqaubssvip</t>
  </si>
  <si>
    <t>gtnpducsyyvcvlil</t>
  </si>
  <si>
    <t>gfcrftcsewxnhrfe</t>
  </si>
  <si>
    <t>powdfvdaswntxadr</t>
  </si>
  <si>
    <t>eewiqjgchezpaeri</t>
  </si>
  <si>
    <t>jebifofuxhafmilc</t>
  </si>
  <si>
    <t>fpoytkfoeyjpbbiy</t>
  </si>
  <si>
    <t>huyvzxoqskzxweqi</t>
  </si>
  <si>
    <t>iysdgvuxiazmelwk</t>
  </si>
  <si>
    <t>ncomparvrngaivsu</t>
  </si>
  <si>
    <t>trefbmbqzmagzehf</t>
  </si>
  <si>
    <t>qeihnghetjdxjoha</t>
  </si>
  <si>
    <t>rbvqhlgnqojgfufi</t>
  </si>
  <si>
    <t>fakecngyhfjtkqqu</t>
  </si>
  <si>
    <t>wklbpdxldqpdnotb</t>
  </si>
  <si>
    <t>avtpwhjonjtnymcn</t>
  </si>
  <si>
    <t>faindyluyepznrai</t>
  </si>
  <si>
    <t>eargelpkqrpoioqu</t>
  </si>
  <si>
    <t>krifsiknnuadlodo</t>
  </si>
  <si>
    <t>padynxsjanqvxdwo</t>
  </si>
  <si>
    <t>WEafNrer</t>
  </si>
  <si>
    <t>cedyifSX</t>
  </si>
  <si>
    <t>YrObnvhy</t>
  </si>
  <si>
    <t>oTbTuTcC</t>
  </si>
  <si>
    <t>gCQEubZX</t>
  </si>
  <si>
    <t>QWJGVPwi</t>
  </si>
  <si>
    <t>wDzuldTd</t>
  </si>
  <si>
    <t>UoFUrgKc</t>
  </si>
  <si>
    <t>jDeCDAhQ</t>
  </si>
  <si>
    <t>ZeVRlIsY</t>
  </si>
  <si>
    <t>lRmOkytE</t>
  </si>
  <si>
    <t>orHwuUWg</t>
  </si>
  <si>
    <t>RTpHaEaP</t>
  </si>
  <si>
    <t>hxHQwDDZ</t>
  </si>
  <si>
    <t>hpQJmAWg</t>
  </si>
  <si>
    <t>xGVqTGwI</t>
  </si>
  <si>
    <t>HDGojfAw</t>
  </si>
  <si>
    <t>qQaqnnWq</t>
  </si>
  <si>
    <t>icMRXCIr</t>
  </si>
  <si>
    <t>WCBuiTwN</t>
  </si>
  <si>
    <t>fNxNOaSuTJvg</t>
  </si>
  <si>
    <t>lDLOfgGmpEkd</t>
  </si>
  <si>
    <t>DcLgLkPVmNxb</t>
  </si>
  <si>
    <t>uPinnRYuKsDS</t>
  </si>
  <si>
    <t>NLfNhjLPOfXz</t>
  </si>
  <si>
    <t>lbLbcCnHOHPd</t>
  </si>
  <si>
    <t>JtVooHSfPqcu</t>
  </si>
  <si>
    <t>uKOsmpiCYZoi</t>
  </si>
  <si>
    <t>HKfJVFEhecgN</t>
  </si>
  <si>
    <t>DGjIaurVbERP</t>
  </si>
  <si>
    <t>oIRKrjuDMPBK</t>
  </si>
  <si>
    <t>BVRSgRknMbUL</t>
  </si>
  <si>
    <t>zRMGDKGqKmAO</t>
  </si>
  <si>
    <t>vPqkZemJPSkn</t>
  </si>
  <si>
    <t>TwtjzttOAJmB</t>
  </si>
  <si>
    <t>jcyQgbtndXmw</t>
  </si>
  <si>
    <t>uRTgYghvCgoB</t>
  </si>
  <si>
    <t>TmDIvwPCeyUo</t>
  </si>
  <si>
    <t>JFFMIRvbEsvQ</t>
  </si>
  <si>
    <t>IpAHRKhSyUPz</t>
  </si>
  <si>
    <t>MaGVRhDakVzPcjhW</t>
  </si>
  <si>
    <t>tAbDMJYpWlfnmtdu</t>
  </si>
  <si>
    <t>zYPLrFoaZoEIDCsE</t>
  </si>
  <si>
    <t>rwoGoeAPkYAmxSZJ</t>
  </si>
  <si>
    <t>ZypHCiedmihFhHbc</t>
  </si>
  <si>
    <t>yNdWApKxpeoJGluW</t>
  </si>
  <si>
    <t>mcvkVfZYpdeGKVOj</t>
  </si>
  <si>
    <t>VlOJWtvQtVFxVmFg</t>
  </si>
  <si>
    <t>GPggwDTPQIWxrfuh</t>
  </si>
  <si>
    <t>ueadeLrIZvZdhlIg</t>
  </si>
  <si>
    <t>IIpwYnxTwKSteiYv</t>
  </si>
  <si>
    <t>WDtsQuFiCcIBbBYt</t>
  </si>
  <si>
    <t>PeaFlMkvTbfQJKhS</t>
  </si>
  <si>
    <t>IHqqwGByqoWCumDt</t>
  </si>
  <si>
    <t>CCOWQXwYmieGxrxd</t>
  </si>
  <si>
    <t>gffDmZVDCNmShaJH</t>
  </si>
  <si>
    <t>iqOfWemZTElleRUo</t>
  </si>
  <si>
    <t>PXcFJAPadOCivTgk</t>
  </si>
  <si>
    <t>VPfafoRVVBQwcdlJ</t>
  </si>
  <si>
    <t>tBbKRDhnYKgLRgoi</t>
  </si>
  <si>
    <t>FtUS3y4Z</t>
  </si>
  <si>
    <t>r5nT2N1V</t>
  </si>
  <si>
    <t>ZpY1TEOy</t>
  </si>
  <si>
    <t>Qg9WA5sw</t>
  </si>
  <si>
    <t>Ss9NH6iq</t>
  </si>
  <si>
    <t>xUB74Xkq</t>
  </si>
  <si>
    <t>tHBvk5Xh</t>
  </si>
  <si>
    <t>XxK41tjI</t>
  </si>
  <si>
    <t>4CeAjoZG</t>
  </si>
  <si>
    <t>kj9nwVze</t>
  </si>
  <si>
    <t>%xKxjpNC</t>
  </si>
  <si>
    <t>NnX#fz&amp;x</t>
  </si>
  <si>
    <t>Qov@JBy*</t>
  </si>
  <si>
    <t>%OEVf%Ax</t>
  </si>
  <si>
    <t>NVmYr@CY</t>
  </si>
  <si>
    <t>Ga^ElvXq</t>
  </si>
  <si>
    <t>FFEdJdc#</t>
  </si>
  <si>
    <t>DSszgeD&amp;</t>
  </si>
  <si>
    <t>m#Scrzot</t>
  </si>
  <si>
    <t>eMfa%etI</t>
  </si>
  <si>
    <t>JiaTR804dBVU</t>
  </si>
  <si>
    <t>vCCg3MStDHHG</t>
  </si>
  <si>
    <t>FGj3pOTRJSh8</t>
  </si>
  <si>
    <t>qZexxlPrD406</t>
  </si>
  <si>
    <t>Mo6UDDFAA976</t>
  </si>
  <si>
    <t>le5OqIL2qfx3</t>
  </si>
  <si>
    <t>LQIU8MHorWRr</t>
  </si>
  <si>
    <t>HEzYHCAX4MuO</t>
  </si>
  <si>
    <t>TgBw6irMZd93</t>
  </si>
  <si>
    <t>kBsAkSeOFX2c</t>
  </si>
  <si>
    <t>nZI#FgWjbp^@</t>
  </si>
  <si>
    <t>gaX*gk%!opJh</t>
  </si>
  <si>
    <t>CwaM!OvLItDO</t>
  </si>
  <si>
    <t>qsIzJkG#qHad</t>
  </si>
  <si>
    <t>YkVHR*XozSjv</t>
  </si>
  <si>
    <t>jAdu@#vYe$Tw</t>
  </si>
  <si>
    <t>w*^@o&amp;e!PJKQ</t>
  </si>
  <si>
    <t>eIMSj^dmwVRw</t>
  </si>
  <si>
    <t>ZAciTL%W@yYM</t>
  </si>
  <si>
    <t>Z@MCjOY*ODtU</t>
  </si>
  <si>
    <t>zSBq2kUiY3MvqZJn</t>
  </si>
  <si>
    <t>drS7H6YknOIGc7Qv</t>
  </si>
  <si>
    <t>NrR90ppqHhHMoKRn</t>
  </si>
  <si>
    <t>o3kgVHg4FepgMQ7D</t>
  </si>
  <si>
    <t>FUykPqrE89iDww4v</t>
  </si>
  <si>
    <t>x5fuemAhVf2El0ot</t>
  </si>
  <si>
    <t>Esecx9JOaTJ8ZInC</t>
  </si>
  <si>
    <t>ZYcwPD8HLo69x6Eb</t>
  </si>
  <si>
    <t>v1doFg3XxFCM73BL</t>
  </si>
  <si>
    <t>kjoZjSea8qOfTf9P</t>
  </si>
  <si>
    <t>T!GaiI*sgC&amp;iDbhV</t>
  </si>
  <si>
    <t>^SAavqUBbvXbeeEL</t>
  </si>
  <si>
    <t>TIwuNk&amp;SbJy$RP^N</t>
  </si>
  <si>
    <t>&amp;pvGbDls*npGyFvG</t>
  </si>
  <si>
    <t>gtMX&amp;vicGdCOrhnJ</t>
  </si>
  <si>
    <t>qFhE&amp;dg%$Aeve&amp;oO</t>
  </si>
  <si>
    <t>R^AVz*wEmAehJW%%</t>
  </si>
  <si>
    <t>imS*XhWnMy$lXXgD</t>
  </si>
  <si>
    <t>gbnIUeRs$ALu*aXy</t>
  </si>
  <si>
    <t>ocu$B!RkQeZkDlav</t>
  </si>
  <si>
    <t>*jn6B^B#</t>
  </si>
  <si>
    <t>nw5@OBhC</t>
  </si>
  <si>
    <t>qEO8*EQ#</t>
  </si>
  <si>
    <t>OLr42*qV</t>
  </si>
  <si>
    <t>ji&amp;E46O!</t>
  </si>
  <si>
    <t>Py9#RnV0</t>
  </si>
  <si>
    <t>H!l8F7@J</t>
  </si>
  <si>
    <t>TEX3kOv*</t>
  </si>
  <si>
    <t>d0I2dl!d</t>
  </si>
  <si>
    <t>Uyp3Tl@%</t>
  </si>
  <si>
    <t>wUrB*9Ec</t>
  </si>
  <si>
    <t>7&amp;vkWprP</t>
  </si>
  <si>
    <t>EB$YR1w4</t>
  </si>
  <si>
    <t>s2^ULaRE</t>
  </si>
  <si>
    <t>qb*$W5ak</t>
  </si>
  <si>
    <t>Ofkah3$b</t>
  </si>
  <si>
    <t>Z5!6zNAg</t>
  </si>
  <si>
    <t>9x@S0WV9</t>
  </si>
  <si>
    <t>9@tWgZ1d</t>
  </si>
  <si>
    <t>@0%eshcW</t>
  </si>
  <si>
    <t>^o1!wYzr@JX^</t>
  </si>
  <si>
    <t>mDfLgV!!4Luy</t>
  </si>
  <si>
    <t>FrGqM0U28#AK</t>
  </si>
  <si>
    <t>JaGMGp@%2M#g</t>
  </si>
  <si>
    <t>046C!Z0niq^l</t>
  </si>
  <si>
    <t>3aSJimX5p!X2</t>
  </si>
  <si>
    <t>XZ0V1aw$etMC</t>
  </si>
  <si>
    <t>Oa^X9Qz31N1r</t>
  </si>
  <si>
    <t>5X7E6JI@@el9</t>
  </si>
  <si>
    <t>1CpkzykLvk!p</t>
  </si>
  <si>
    <t>Ey7Xb&amp;o45Yec</t>
  </si>
  <si>
    <t>jvi#GXV2%S7o</t>
  </si>
  <si>
    <t>gX$4!u@90GpP</t>
  </si>
  <si>
    <t>BLyjJC7TKl%8</t>
  </si>
  <si>
    <t>uV0hEX&amp;kcIDS</t>
  </si>
  <si>
    <t>R*3Q4M1af9Rr</t>
  </si>
  <si>
    <t>V^nBkld2$VtF</t>
  </si>
  <si>
    <t>%ZQ$bw7AhPyS</t>
  </si>
  <si>
    <t>09V$yFC!b%Bc</t>
  </si>
  <si>
    <t>P9O4k$kJm^^b</t>
  </si>
  <si>
    <t>pC#U6C5jSDIfA68D</t>
  </si>
  <si>
    <t>8tam9KbHugDe!*$b</t>
  </si>
  <si>
    <t>$mF3pBQaB%mD6nI0</t>
  </si>
  <si>
    <t>dITD0@HEGN^9VdRw</t>
  </si>
  <si>
    <t>K2NiVc3b%&amp;Kc12Ox</t>
  </si>
  <si>
    <t>ReNj^h#MCv8va$Pt</t>
  </si>
  <si>
    <t>k@bO3@e3HPGB8ZiN</t>
  </si>
  <si>
    <t>fcWFfEjJ6UlLc5n@</t>
  </si>
  <si>
    <t>LugI5@oKQ%NDZ*J7</t>
  </si>
  <si>
    <t>d6TsI1Yq2O9G%VYO</t>
  </si>
  <si>
    <t>cnQnKtNY!N9wPilu</t>
  </si>
  <si>
    <t>gAQ%g@s*FN39Z&amp;Gz</t>
  </si>
  <si>
    <t>N#$*zl6G3OVa70^F</t>
  </si>
  <si>
    <t>2W#rGypVU2AzSHf$</t>
  </si>
  <si>
    <t>*bGUEzyYlFo5R$yG</t>
  </si>
  <si>
    <t>1DvqEZ9&amp;KkRnqLfW</t>
  </si>
  <si>
    <t>hXgnh%40K5y8RfLM</t>
  </si>
  <si>
    <t>iuUPs2^NHT!^BIDd</t>
  </si>
  <si>
    <t>Un&amp;1S8UXyt5&amp;$rLr</t>
  </si>
  <si>
    <t>#061EUYU!cOpLpwv</t>
  </si>
  <si>
    <t>jwvfftmf</t>
  </si>
  <si>
    <t>wbdpgxeb</t>
  </si>
  <si>
    <t>xxvecgjg</t>
  </si>
  <si>
    <t>nzbrpjut</t>
  </si>
  <si>
    <t>bgkjgmmd</t>
  </si>
  <si>
    <t>mdswkgyu</t>
  </si>
  <si>
    <t>pdphteje</t>
  </si>
  <si>
    <t>ajbwmgpq</t>
  </si>
  <si>
    <t>jdtswsrx</t>
  </si>
  <si>
    <t>egcjvytb</t>
  </si>
  <si>
    <t>ybgefqkb</t>
  </si>
  <si>
    <t>vxhugqvt</t>
  </si>
  <si>
    <t>keemusfr</t>
  </si>
  <si>
    <t>kxczznps</t>
  </si>
  <si>
    <t>dmsgcpfh</t>
  </si>
  <si>
    <t>heaugxtv</t>
  </si>
  <si>
    <t>nymskecd</t>
  </si>
  <si>
    <t>fysbmgsp</t>
  </si>
  <si>
    <t>ksdxvwkc</t>
  </si>
  <si>
    <t>nzntthpa</t>
  </si>
  <si>
    <t>mnguhfjrkdqy</t>
  </si>
  <si>
    <t>wdbweuzwbjte</t>
  </si>
  <si>
    <t>jwbgdpupqqvh</t>
  </si>
  <si>
    <t>gxefdehdcnnt</t>
  </si>
  <si>
    <t>rwmaehdgpjuv</t>
  </si>
  <si>
    <t>nvswsbfnheve</t>
  </si>
  <si>
    <t>hbucdurdncup</t>
  </si>
  <si>
    <t>bvvkmsuvbtbs</t>
  </si>
  <si>
    <t>xfcwpuuebcht</t>
  </si>
  <si>
    <t>vdttuhsbqyrk</t>
  </si>
  <si>
    <t>hbvpeywrpcuu</t>
  </si>
  <si>
    <t>ddtbzzgdywwd</t>
  </si>
  <si>
    <t>mgdfvugrahcw</t>
  </si>
  <si>
    <t>htmrzqvnkedr</t>
  </si>
  <si>
    <t>kgrkvhxjazqs</t>
  </si>
  <si>
    <t>ymvvjzkuhyfd</t>
  </si>
  <si>
    <t>wpfpqqntbbkv</t>
  </si>
  <si>
    <t>wbduudeytfsv</t>
  </si>
  <si>
    <t>crgwmhgkewrm</t>
  </si>
  <si>
    <t>wdvxxntnacgg</t>
  </si>
  <si>
    <t>gcgsxvwtjbgspqrf</t>
  </si>
  <si>
    <t>hfwzsbrpqxxgxpyb</t>
  </si>
  <si>
    <t>bzfsrjzfurqfuyfh</t>
  </si>
  <si>
    <t>qkydtccgruhhzcfx</t>
  </si>
  <si>
    <t>bnfuwnnjyymndbkc</t>
  </si>
  <si>
    <t>kevsjfhzfgymxmsg</t>
  </si>
  <si>
    <t>urnuqsmvxuckajck</t>
  </si>
  <si>
    <t>mcwvwjjbrrrjpbbr</t>
  </si>
  <si>
    <t>ktkyzamnrgpkprbv</t>
  </si>
  <si>
    <t>mmpfxeaveaysfqhx</t>
  </si>
  <si>
    <t>ekpeffvvwzghbvjj</t>
  </si>
  <si>
    <t>pntgmrghxvwwmfmj</t>
  </si>
  <si>
    <t>uymvutwrdchfunnx</t>
  </si>
  <si>
    <t>kvchreqfqapedvwr</t>
  </si>
  <si>
    <t>utunneccxepwbqkb</t>
  </si>
  <si>
    <t>wmnycpxnrubvfuud</t>
  </si>
  <si>
    <t>dqqwckvywyqqtnby</t>
  </si>
  <si>
    <t>wmrcjjubfwqutgws</t>
  </si>
  <si>
    <t>wzvzcmkkcnxjsyvh</t>
  </si>
  <si>
    <t>tdwuqdvkyvqgmtfr</t>
  </si>
  <si>
    <t>taZdsVnc</t>
  </si>
  <si>
    <t>CZHSSRMh</t>
  </si>
  <si>
    <t>XKJubVfm</t>
  </si>
  <si>
    <t>hCNNrKce</t>
  </si>
  <si>
    <t>cRJSbfDK</t>
  </si>
  <si>
    <t>BRkSrRFe</t>
  </si>
  <si>
    <t>QUGwKbbp</t>
  </si>
  <si>
    <t>KNuGpaEj</t>
  </si>
  <si>
    <t>XFcmvxyL</t>
  </si>
  <si>
    <t>BfQrzZqm</t>
  </si>
  <si>
    <t>FfLMpcgV</t>
  </si>
  <si>
    <t>pdkUAnWm</t>
  </si>
  <si>
    <t>uDHvTegx</t>
  </si>
  <si>
    <t>FbYEvDbt</t>
  </si>
  <si>
    <t>qaxzLHCR</t>
  </si>
  <si>
    <t>HeTgPqya</t>
  </si>
  <si>
    <t>hrHvmPYt</t>
  </si>
  <si>
    <t>YhzWsRwL</t>
  </si>
  <si>
    <t>xSYpkZJw</t>
  </si>
  <si>
    <t>aTMFjXyw</t>
  </si>
  <si>
    <t>agXjUVMFAAhU</t>
  </si>
  <si>
    <t>KqRWFtPshJnz</t>
  </si>
  <si>
    <t>MJyDwyDWSvjr</t>
  </si>
  <si>
    <t>EEtaPBWSwnTv</t>
  </si>
  <si>
    <t>DrHajMrvyJuv</t>
  </si>
  <si>
    <t>QvgvpeXEZRvh</t>
  </si>
  <si>
    <t>msNJSNtcJurj</t>
  </si>
  <si>
    <t>VaVDqfctEjBD</t>
  </si>
  <si>
    <t>CKrMhEMwdTbR</t>
  </si>
  <si>
    <t>sdTRHKfSctwn</t>
  </si>
  <si>
    <t>cAVVXGeURMMd</t>
  </si>
  <si>
    <t>cSsecjnqYtkK</t>
  </si>
  <si>
    <t>RSHwYThdurLm</t>
  </si>
  <si>
    <t>KUhhJSCaFFYD</t>
  </si>
  <si>
    <t>TjGQSqYedCgB</t>
  </si>
  <si>
    <t>wjjVCfrwUsBg</t>
  </si>
  <si>
    <t>bSkPapVqTSeA</t>
  </si>
  <si>
    <t>RXZWacrSrtUt</t>
  </si>
  <si>
    <t>aqCPreWxGDxe</t>
  </si>
  <si>
    <t>bzadZUtBsaXd</t>
  </si>
  <si>
    <t>kCnYKWxxhVXYeUBw</t>
  </si>
  <si>
    <t>DztXXMSGQgtuPDzs</t>
  </si>
  <si>
    <t>UyJvCSCfgUvTNDQF</t>
  </si>
  <si>
    <t>svussRtLqKJVNpyX</t>
  </si>
  <si>
    <t>HHKYUePZgpGvffYb</t>
  </si>
  <si>
    <t>fZHuxMqxRbBKPVGU</t>
  </si>
  <si>
    <t>LeBcqMPerGPteqGS</t>
  </si>
  <si>
    <t>zxmNPnhxvsWnsmvr</t>
  </si>
  <si>
    <t>yuwjPTwsXUQfrBRE</t>
  </si>
  <si>
    <t>WPuhQKMDjXdLSUSN</t>
  </si>
  <si>
    <t>EGNLhNGRsquMvfXT</t>
  </si>
  <si>
    <t>CGugEfYYWCSPRccY</t>
  </si>
  <si>
    <t>gNucVtgbEHjYvNtV</t>
  </si>
  <si>
    <t>DKRqdjyWEutTMBTJ</t>
  </si>
  <si>
    <t>yNNgETTJJxgFZwhT</t>
  </si>
  <si>
    <t>scDPBQWmnjNDmXrn</t>
  </si>
  <si>
    <t>wQUYmCPTpBtwkYQg</t>
  </si>
  <si>
    <t>GNyRFfAVJVdNjUyn</t>
  </si>
  <si>
    <t>hnbXVbwJFtpcVNfX</t>
  </si>
  <si>
    <t>nXUuaHqgtyGvsLXt</t>
  </si>
  <si>
    <t>Gcz1zDde</t>
  </si>
  <si>
    <t>We6uBGEq</t>
  </si>
  <si>
    <t>h5LeDJBR</t>
  </si>
  <si>
    <t>CW7Abq5F</t>
  </si>
  <si>
    <t>jVg37k8j</t>
  </si>
  <si>
    <t>3E1fCrDv</t>
  </si>
  <si>
    <t>ERTF7Ej2</t>
  </si>
  <si>
    <t>sCv4kXmB</t>
  </si>
  <si>
    <t>Xfnwver7</t>
  </si>
  <si>
    <t>qL#$%NQZ</t>
  </si>
  <si>
    <t>EcZgWm#x</t>
  </si>
  <si>
    <t>t*bKjZMg</t>
  </si>
  <si>
    <t>#b#BdYmt</t>
  </si>
  <si>
    <t>J#HHcakh</t>
  </si>
  <si>
    <t>$Jc!%BEs</t>
  </si>
  <si>
    <t>eHkt@EBK</t>
  </si>
  <si>
    <t>UXHq^XwH</t>
  </si>
  <si>
    <t>J@atmmEM</t>
  </si>
  <si>
    <t>^@EPsKrS</t>
  </si>
  <si>
    <t>ZDg#k@sY</t>
  </si>
  <si>
    <t>c@ghHVV&amp;wJpz</t>
  </si>
  <si>
    <t>KDzpHudS^h&amp;b</t>
  </si>
  <si>
    <t>KSmVPPT&amp;!#YU</t>
  </si>
  <si>
    <t>!VF#wq@BpRx#</t>
  </si>
  <si>
    <t>aMX$EPFnX^nP</t>
  </si>
  <si>
    <t>gs!jfkjFnJEZ</t>
  </si>
  <si>
    <t>GqjgU*St^vtV</t>
  </si>
  <si>
    <t>Gx^p^UynxhXt</t>
  </si>
  <si>
    <t>SaWsgGhU#%B$</t>
  </si>
  <si>
    <t>#SGq#vsfRDHy</t>
  </si>
  <si>
    <t>UV5zmveU2WBw</t>
  </si>
  <si>
    <t>pf1J12W6cY2h</t>
  </si>
  <si>
    <t>bfNkVmm8eXXC</t>
  </si>
  <si>
    <t>jK94pYZNgSvP</t>
  </si>
  <si>
    <t>SrVVX36TeUnW</t>
  </si>
  <si>
    <t>cdZa3utRjbRx</t>
  </si>
  <si>
    <t>uhwZCC71Wn5N</t>
  </si>
  <si>
    <t>WVf9WXGpL4dL</t>
  </si>
  <si>
    <t>wwCxN3tTgC3w</t>
  </si>
  <si>
    <t>58MPhSHzsGFx</t>
  </si>
  <si>
    <t>89MBh1FR5mkqSNNx</t>
  </si>
  <si>
    <t>fngxMAKJNDeq4CjT</t>
  </si>
  <si>
    <t>w8UduKMmUfLzpRpB</t>
  </si>
  <si>
    <t>ufZbeg9Uc6qqP9Qv</t>
  </si>
  <si>
    <t>GwYd4RK767ppc7Xc</t>
  </si>
  <si>
    <t>ZrkNtw7V2R7vEwXf</t>
  </si>
  <si>
    <t>eu4m3JPJjUqnJsxp</t>
  </si>
  <si>
    <t>t86hQa2B6kT6atAC</t>
  </si>
  <si>
    <t>Wd8we1yShuTSVUPq</t>
  </si>
  <si>
    <t>BqEcv2tWAcQfFEca</t>
  </si>
  <si>
    <t>#fK!ean&amp;^agPCPVC</t>
  </si>
  <si>
    <t>V$BgtL&amp;K%gTg$c!W</t>
  </si>
  <si>
    <t>Wf&amp;LjLTcCP^ekNxh</t>
  </si>
  <si>
    <t>nf*gZupzBxn^gLnR</t>
  </si>
  <si>
    <t>fFt^ZWUuCd%PfU^A</t>
  </si>
  <si>
    <t>vQHkprngVFwVY%QU</t>
  </si>
  <si>
    <t>m^#Rgc&amp;wHe^zuCKE</t>
  </si>
  <si>
    <t>WVXuW*gaw&amp;kKLvHX</t>
  </si>
  <si>
    <t>QJLucH@XEasaNcJb</t>
  </si>
  <si>
    <t>Te#JxxHPt%yQLq^k</t>
  </si>
  <si>
    <t>Z7z3^g%2</t>
  </si>
  <si>
    <t>zxEev^3U</t>
  </si>
  <si>
    <t>k@*Mck6U</t>
  </si>
  <si>
    <t>@6m73VUk</t>
  </si>
  <si>
    <t>C5^caZht</t>
  </si>
  <si>
    <t>yVD8#7Ne</t>
  </si>
  <si>
    <t>F&amp;r3^2Uf</t>
  </si>
  <si>
    <t>bW1v7mW^</t>
  </si>
  <si>
    <t>79t#8EXM</t>
  </si>
  <si>
    <t>2A!mUrdb</t>
  </si>
  <si>
    <t>#3Nk&amp;Gk!</t>
  </si>
  <si>
    <t>ycr^CJQ7</t>
  </si>
  <si>
    <t>AE7Z$#g8</t>
  </si>
  <si>
    <t>#xn6nGwt</t>
  </si>
  <si>
    <t>c3Ee@vrJ</t>
  </si>
  <si>
    <t>NFmM5d$F</t>
  </si>
  <si>
    <t>AFQ7@Quz</t>
  </si>
  <si>
    <t>!u4BQx43</t>
  </si>
  <si>
    <t>@emU&amp;F@3</t>
  </si>
  <si>
    <t>$a1H^Wdk</t>
  </si>
  <si>
    <t>cN5FDsecHC^M</t>
  </si>
  <si>
    <t>&amp;adZ6L%YgU5x</t>
  </si>
  <si>
    <t>kdH7n#zc7d&amp;Y</t>
  </si>
  <si>
    <t>bJ^4Y%##Cb73</t>
  </si>
  <si>
    <t>@RsUNyCZr48$</t>
  </si>
  <si>
    <t>rD1@qxsTyT@D</t>
  </si>
  <si>
    <t>Rj@rWf*54vc$</t>
  </si>
  <si>
    <t>4M5UE*YhpU!^</t>
  </si>
  <si>
    <t>mmDZDX%k#22m</t>
  </si>
  <si>
    <t>aCMpQ1a!#yP%</t>
  </si>
  <si>
    <t>q@rwMpxT$M2$</t>
  </si>
  <si>
    <t>7eZ63$JbYpFP</t>
  </si>
  <si>
    <t>jE*kPSu@Kc5v</t>
  </si>
  <si>
    <t>3%BbEuDJ&amp;2QB</t>
  </si>
  <si>
    <t>%2ar$D5KeQYy</t>
  </si>
  <si>
    <t>pm#8LrwveWb6</t>
  </si>
  <si>
    <t>^kf&amp;98tdAR@@</t>
  </si>
  <si>
    <t>S#v%@d!%!q6F</t>
  </si>
  <si>
    <t>y^82nm98EkeJ</t>
  </si>
  <si>
    <t>U11eu7&amp;HU$v4</t>
  </si>
  <si>
    <t>D@4Cg5JWkc1X&amp;24#</t>
  </si>
  <si>
    <t>91cfJb&amp;H&amp;8cBjQkS</t>
  </si>
  <si>
    <t>QM$73wWJEn$$gm7B</t>
  </si>
  <si>
    <t>EnUu2tK#PtrjmB$f</t>
  </si>
  <si>
    <t>jW*5zDt4rNf16XFZ</t>
  </si>
  <si>
    <t>*Jr$9442EesTz*2m</t>
  </si>
  <si>
    <t>T&amp;f5m6xTkU%1SvbG</t>
  </si>
  <si>
    <t>8nMA9LzxeR^f^GUR</t>
  </si>
  <si>
    <t>zR6r2HCcj^4q6sNg</t>
  </si>
  <si>
    <t>aj!eWV&amp;PWdc4#axe</t>
  </si>
  <si>
    <t>BRaFj6^uWXdNxDE7</t>
  </si>
  <si>
    <t>Z7J2Zssb9w#vn4YK</t>
  </si>
  <si>
    <t>sLfP%FZb%c4KXGMs</t>
  </si>
  <si>
    <t>D@93vn4^E62n6U#G</t>
  </si>
  <si>
    <t>GdnpENzC@beD8Q%c</t>
  </si>
  <si>
    <t>*yk*3uq6HZe72Z1n</t>
  </si>
  <si>
    <t>GTqsqQu5fEMa#yna</t>
  </si>
  <si>
    <t>ECWw8QVF!8ru@Fqj</t>
  </si>
  <si>
    <t>24sHNsLgt@D4CK^T</t>
  </si>
  <si>
    <t>15PChY6pW^%E@RKd</t>
  </si>
  <si>
    <t>ajbhtfyy</t>
  </si>
  <si>
    <t>nlrmorqy</t>
  </si>
  <si>
    <t>cplrnhfj</t>
  </si>
  <si>
    <t>abhgribh</t>
  </si>
  <si>
    <t>zocenrep</t>
  </si>
  <si>
    <t>hnurktxo</t>
  </si>
  <si>
    <t>gyotbojb</t>
  </si>
  <si>
    <t>mxojsykn</t>
  </si>
  <si>
    <t>xwagsaxx</t>
  </si>
  <si>
    <t>bximnncw</t>
  </si>
  <si>
    <t>kfubnoaw</t>
  </si>
  <si>
    <t>cdvzprki</t>
  </si>
  <si>
    <t>kewdhhdk</t>
  </si>
  <si>
    <t>oncuvpzg</t>
  </si>
  <si>
    <t>eqtoxpwp</t>
  </si>
  <si>
    <t>yrqrjfdg</t>
  </si>
  <si>
    <t>rmlprsof</t>
  </si>
  <si>
    <t>obxrhhwh</t>
  </si>
  <si>
    <t>rvcteizs</t>
  </si>
  <si>
    <t>azozsszx</t>
  </si>
  <si>
    <t>dpnpaqyqxmmo</t>
  </si>
  <si>
    <t>tlyayxwvyoso</t>
  </si>
  <si>
    <t>lybziuzwuoyc</t>
  </si>
  <si>
    <t>fgkigtznfthl</t>
  </si>
  <si>
    <t>nepnvfsklutv</t>
  </si>
  <si>
    <t>wsbyletconhi</t>
  </si>
  <si>
    <t>xyxiacewmunc</t>
  </si>
  <si>
    <t>kltrmgxjwcry</t>
  </si>
  <si>
    <t>cxyyipepxyih</t>
  </si>
  <si>
    <t>txotgrllricz</t>
  </si>
  <si>
    <t>nazmbnvphlgy</t>
  </si>
  <si>
    <t>rcbkwfryohdm</t>
  </si>
  <si>
    <t>esqgqktgoleb</t>
  </si>
  <si>
    <t>jiahhofjsdpy</t>
  </si>
  <si>
    <t>kpvdcpjqmxci</t>
  </si>
  <si>
    <t>tpjhrarkxxfb</t>
  </si>
  <si>
    <t>stuzurnlioft</t>
  </si>
  <si>
    <t>qjpuomvhevfb</t>
  </si>
  <si>
    <t>qownrjkzgxqj</t>
  </si>
  <si>
    <t>vtaeblxwpwgg</t>
  </si>
  <si>
    <t>wdwtpycadikirwxy</t>
  </si>
  <si>
    <t>jqnupyohzyalwtml</t>
  </si>
  <si>
    <t>titrtovbnxsnpskd</t>
  </si>
  <si>
    <t>cifmsvegmxnncrwo</t>
  </si>
  <si>
    <t>uxtxldhmnctydcue</t>
  </si>
  <si>
    <t>wtgnbjwqsdvcvwpc</t>
  </si>
  <si>
    <t>myovlzidisszzcak</t>
  </si>
  <si>
    <t>zffswfqwxchuxdrp</t>
  </si>
  <si>
    <t>bjynrriegcwjemkv</t>
  </si>
  <si>
    <t>odcrfcjrnpdslgwu</t>
  </si>
  <si>
    <t>pzmdotoeroqszaxg</t>
  </si>
  <si>
    <t>mfzsykwpnwvcizlo</t>
  </si>
  <si>
    <t>ajuikvpdqccwtpli</t>
  </si>
  <si>
    <t>qsivxtwdwsmvcfad</t>
  </si>
  <si>
    <t>tttqohdaegbwsrgy</t>
  </si>
  <si>
    <t>zfyiceppwabbtbfb</t>
  </si>
  <si>
    <t>gjctyisbmrrqyjit</t>
  </si>
  <si>
    <t>uuvtmqvnoxnzsaqb</t>
  </si>
  <si>
    <t>cbkyvpabkbyikxsa</t>
  </si>
  <si>
    <t>gzfwtbnakjeodjou</t>
  </si>
  <si>
    <t>GDQdUDnN</t>
  </si>
  <si>
    <t>MFuLBxaz</t>
  </si>
  <si>
    <t>wFEKJOWF</t>
  </si>
  <si>
    <t>NsnCUUYF</t>
  </si>
  <si>
    <t>ahacDKnN</t>
  </si>
  <si>
    <t>fbbNDrmy</t>
  </si>
  <si>
    <t>CZkYmCyb</t>
  </si>
  <si>
    <t>qFdLFHrw</t>
  </si>
  <si>
    <t>xCACcJyy</t>
  </si>
  <si>
    <t>CusHpukN</t>
  </si>
  <si>
    <t>ddsgILum</t>
  </si>
  <si>
    <t>dnytTdhg</t>
  </si>
  <si>
    <t>TScXfZua</t>
  </si>
  <si>
    <t>tXnPNdjv</t>
  </si>
  <si>
    <t>RhCafzaT</t>
  </si>
  <si>
    <t>HeaEZVHr</t>
  </si>
  <si>
    <t>RHnMnavM</t>
  </si>
  <si>
    <t>RkGFvblz</t>
  </si>
  <si>
    <t>HIsmtHCb</t>
  </si>
  <si>
    <t>oeMgCMfd</t>
  </si>
  <si>
    <t>Razoável</t>
  </si>
  <si>
    <t>JaPiMsGqAhXQ</t>
  </si>
  <si>
    <t>qkGeOBqHKula</t>
  </si>
  <si>
    <t>wVtfFIEGclmC</t>
  </si>
  <si>
    <t>IpViOpbnmjrl</t>
  </si>
  <si>
    <t>PBtSMXhsMWmM</t>
  </si>
  <si>
    <t>xFHSOWSZvKnu</t>
  </si>
  <si>
    <t>tBhUhkxGVuAg</t>
  </si>
  <si>
    <t>JWFotgCnWpxh</t>
  </si>
  <si>
    <t>gHFiTAZHtrix</t>
  </si>
  <si>
    <t>WndQBzjHbiuH</t>
  </si>
  <si>
    <t>BBjEaZConJkv</t>
  </si>
  <si>
    <t>wVMcuFqksXpG</t>
  </si>
  <si>
    <t>CSjHXglSReVV</t>
  </si>
  <si>
    <t>qxdcwsLMpzWv</t>
  </si>
  <si>
    <t>XpBfVbvppPlp</t>
  </si>
  <si>
    <t>JeOFjkdXYVuX</t>
  </si>
  <si>
    <t>VwKhxmXKvmKY</t>
  </si>
  <si>
    <t>oFUirhFYOlGC</t>
  </si>
  <si>
    <t>vrDggqjYcJDZ</t>
  </si>
  <si>
    <t>tgdMqCFWgKJq</t>
  </si>
  <si>
    <t>oPvnDnIeSKExwwTB</t>
  </si>
  <si>
    <t>LFwydzXFxhdFDbtV</t>
  </si>
  <si>
    <t>yAwapFRqgycWZVIC</t>
  </si>
  <si>
    <t>iYPlUdoSAnyLqUgK</t>
  </si>
  <si>
    <t>mfUpQDmUFwkGlDrN</t>
  </si>
  <si>
    <t>ronngXhcHUhkuNFU</t>
  </si>
  <si>
    <t>iLphiYaTxMZPUtHJ</t>
  </si>
  <si>
    <t>BoJmVmnyWFtMDABi</t>
  </si>
  <si>
    <t>pKrbewTwoyDDdRBD</t>
  </si>
  <si>
    <t>YzOstpkbRaYNHpYr</t>
  </si>
  <si>
    <t>xCRByHpOIJjtqJWv</t>
  </si>
  <si>
    <t>slSdWmtgkrVVMzop</t>
  </si>
  <si>
    <t>QAOgukpZcRNkULKh</t>
  </si>
  <si>
    <t>GFCeSXTYerVyfSVJ</t>
  </si>
  <si>
    <t>NwjzJIRXCBLQKtWf</t>
  </si>
  <si>
    <t>SwhnqeKPwzsZDwvv</t>
  </si>
  <si>
    <t>rXnktKtElXFBaOQi</t>
  </si>
  <si>
    <t>VgluDRBWBEtzsuGX</t>
  </si>
  <si>
    <t>XSedLWXKQXiqLwNW</t>
  </si>
  <si>
    <t>ciTGFTCxZLuZynuZ</t>
  </si>
  <si>
    <t>ceOI7LL1</t>
  </si>
  <si>
    <t>i3S0GLru</t>
  </si>
  <si>
    <t>fjuH753s</t>
  </si>
  <si>
    <t>Qo2d2zoC</t>
  </si>
  <si>
    <t>f2CFMZhe</t>
  </si>
  <si>
    <t>lNS1d6ZD</t>
  </si>
  <si>
    <t>F9oqPqR2</t>
  </si>
  <si>
    <t>9PC2Tp7u</t>
  </si>
  <si>
    <t>ZxD7Ry7L</t>
  </si>
  <si>
    <t>0HPDSFso</t>
  </si>
  <si>
    <t>eJdVM''"</t>
  </si>
  <si>
    <t>`t.!M+VE</t>
  </si>
  <si>
    <t>,++K[}Fk</t>
  </si>
  <si>
    <t>:tZu&lt;#Yg</t>
  </si>
  <si>
    <t>NHVB)#b#</t>
  </si>
  <si>
    <t>T:WWO)l#</t>
  </si>
  <si>
    <t>&lt;q*A$~Xo</t>
  </si>
  <si>
    <t>yN&amp;uKUq|</t>
  </si>
  <si>
    <t>y-{DTfgI</t>
  </si>
  <si>
    <t>gbBYkE\"</t>
  </si>
  <si>
    <t>DhX@z~[yL&amp;;(</t>
  </si>
  <si>
    <t>%Z"Ny{&lt;TtNVs</t>
  </si>
  <si>
    <t>*Ih%?rzU;).X</t>
  </si>
  <si>
    <t>R}HQS{a/t(Tr</t>
  </si>
  <si>
    <t>e+~V(:m,D&gt;bc</t>
  </si>
  <si>
    <t>!#jRE*{)DeUl</t>
  </si>
  <si>
    <t>pXEIrG]q&gt;#_O</t>
  </si>
  <si>
    <t>T.^}Mbr]BpmJ</t>
  </si>
  <si>
    <t>jML:zx+G&gt;&lt;`U</t>
  </si>
  <si>
    <t>uUL+F,:!/xmr</t>
  </si>
  <si>
    <t>x`*AW]/AyQVkq)&amp;</t>
  </si>
  <si>
    <t>nH@;gRnZ|[TYH&gt;gY</t>
  </si>
  <si>
    <t>^mL`w@pDc-FAGN%M</t>
  </si>
  <si>
    <t>DFu{x=L|nO,JN(Y$</t>
  </si>
  <si>
    <t>}zSu{_nuOW[z!i[W</t>
  </si>
  <si>
    <t>NfA^)nRO|:`f#/kF</t>
  </si>
  <si>
    <t>u*zHrEE=i]F~!YLV</t>
  </si>
  <si>
    <t>!.LkYaLr|C!k~@}K</t>
  </si>
  <si>
    <t>/xWy[/e$%(IZ!y&gt;c</t>
  </si>
  <si>
    <t>o?m]Nzadd/-Rx&gt;]H</t>
  </si>
  <si>
    <t>zPsYhN6L3DfI</t>
  </si>
  <si>
    <t>oa37O5IZrTT6</t>
  </si>
  <si>
    <t>7H9wVSCzDok9</t>
  </si>
  <si>
    <t>gEfI51J34NW5</t>
  </si>
  <si>
    <t>Yifn6SyRcvwE</t>
  </si>
  <si>
    <t>IDcvlfuZci6m</t>
  </si>
  <si>
    <t>Qle5eQfv7Ydw</t>
  </si>
  <si>
    <t>UEZVFd0bsvDi</t>
  </si>
  <si>
    <t>ntFMjs5mehfw</t>
  </si>
  <si>
    <t>OwHOF6WrKKW5</t>
  </si>
  <si>
    <t>b1cHc1ZTs0y9HFah</t>
  </si>
  <si>
    <t>KH8eSLcYqglKSXJU</t>
  </si>
  <si>
    <t>YQi2f3tXZw4h5PrH</t>
  </si>
  <si>
    <t>ayshBpVR9UqRx6gd</t>
  </si>
  <si>
    <t>UzKHdKgrIH1TzrMu</t>
  </si>
  <si>
    <t>oiQxWMNC4WZBsLK1</t>
  </si>
  <si>
    <t>mxa6bTfnQsrv4U2z</t>
  </si>
  <si>
    <t>WX2U3dCk0Shjxtf9</t>
  </si>
  <si>
    <t>7n1GEf8VWKNh2psb</t>
  </si>
  <si>
    <t>CgzG2Z8UVCe5cb6b</t>
  </si>
  <si>
    <t>ovU$J}5`</t>
  </si>
  <si>
    <t>0d)PiuST</t>
  </si>
  <si>
    <t>9oP%/".q</t>
  </si>
  <si>
    <t>}I%Pk:7I</t>
  </si>
  <si>
    <t>*n/y5Kmw</t>
  </si>
  <si>
    <t>Z$4e0Y#j</t>
  </si>
  <si>
    <t>`Z{&gt;g3|'</t>
  </si>
  <si>
    <t>u^dIP86a</t>
  </si>
  <si>
    <t>&amp;5Hr*s$g</t>
  </si>
  <si>
    <t>x&amp;72OY,~</t>
  </si>
  <si>
    <t>R@BR2s_P</t>
  </si>
  <si>
    <t>E~6~{AzU</t>
  </si>
  <si>
    <t>QXrQ@5)i</t>
  </si>
  <si>
    <t>x&amp;D!2`Gg</t>
  </si>
  <si>
    <t>x3N8u.fB</t>
  </si>
  <si>
    <t>k1..AdR</t>
  </si>
  <si>
    <t>hVGU:66r</t>
  </si>
  <si>
    <t>C4B:l^~V</t>
  </si>
  <si>
    <t>,1G(i[Nk</t>
  </si>
  <si>
    <t>ye5Q%B@V</t>
  </si>
  <si>
    <t>x/"([K8Vy.0&lt;</t>
  </si>
  <si>
    <t>?EgEzV&lt;6I&lt;oJ</t>
  </si>
  <si>
    <t>!8e\3i0FHD[x</t>
  </si>
  <si>
    <t>}uIg6|Sq9"Aw</t>
  </si>
  <si>
    <t>#*`I+tE6KvBy</t>
  </si>
  <si>
    <t>GP`atY6-MxvS</t>
  </si>
  <si>
    <t>&lt;b_RC5g/jM(D</t>
  </si>
  <si>
    <t>8Z/.Rq_')sPN</t>
  </si>
  <si>
    <t>3{j9gZfon`h</t>
  </si>
  <si>
    <t>y9R9sVmN=Z}i</t>
  </si>
  <si>
    <t>2fV"_*I9Nxoc</t>
  </si>
  <si>
    <t>Hq~Z9JmMllM5</t>
  </si>
  <si>
    <t>x[BNKocM=46y</t>
  </si>
  <si>
    <t>g0(,^X+rE;OX</t>
  </si>
  <si>
    <t>t-;Y/Dd5;+N#</t>
  </si>
  <si>
    <t>W8g;]2'Tl#,1</t>
  </si>
  <si>
    <t>^qhGnFGGhGy7</t>
  </si>
  <si>
    <t>`9PKS+7J8~o'</t>
  </si>
  <si>
    <t>N:P&lt;r?[S2+00</t>
  </si>
  <si>
    <t>M_|~;q@2db[M</t>
  </si>
  <si>
    <t>uTlnQ&gt;y&amp;Ri'(V2t9</t>
  </si>
  <si>
    <t>#M)P6-lHp\gfFZ#"</t>
  </si>
  <si>
    <t>%gs~x((&gt;/1hCfvZH</t>
  </si>
  <si>
    <t>wmCgMuI^gI~)'8UJ</t>
  </si>
  <si>
    <t>*``f&gt;!SBh6_SB#zS</t>
  </si>
  <si>
    <t>QCY\L32&gt;anq)n'-@</t>
  </si>
  <si>
    <t>a+P3^%SG?ie~Cr5'</t>
  </si>
  <si>
    <t>-6.xL?vvxgkQA&gt;G0</t>
  </si>
  <si>
    <t>(?u_+G&lt;G/[JLD98W</t>
  </si>
  <si>
    <t>q;WH7.3g^N`*.b?.</t>
  </si>
  <si>
    <t>5;jf!X?0HV)En8xx</t>
  </si>
  <si>
    <t>Hh&lt;f3|%1SYJ7LCXd</t>
  </si>
  <si>
    <t>Hq.N6u'}AoM^Gkv+</t>
  </si>
  <si>
    <t>dFfxPd8,Aqq2f&amp;K8</t>
  </si>
  <si>
    <t>&gt;CMhM/3yNBGC{Zw:</t>
  </si>
  <si>
    <t>(&lt;RF4u"!!WvG^Az2</t>
  </si>
  <si>
    <t>+wj6s#?w*oWY&amp;LK0</t>
  </si>
  <si>
    <t>;"\a7qI^c(lQCmDZ</t>
  </si>
  <si>
    <t>4YyRlY;?m~2}{&amp;j8</t>
  </si>
  <si>
    <t>V%c{1NI}|Z[1ow?r</t>
  </si>
  <si>
    <t>nomateva</t>
  </si>
  <si>
    <t>slbrofus</t>
  </si>
  <si>
    <t>wroroxef</t>
  </si>
  <si>
    <t>brobrezu</t>
  </si>
  <si>
    <t>savaduci</t>
  </si>
  <si>
    <t>crixodun</t>
  </si>
  <si>
    <t>dupedasw</t>
  </si>
  <si>
    <t>bestaflx</t>
  </si>
  <si>
    <t>siwoprif</t>
  </si>
  <si>
    <t>xochacag</t>
  </si>
  <si>
    <t>briwufod</t>
  </si>
  <si>
    <t>vuspeyos</t>
  </si>
  <si>
    <t>mlpruprl</t>
  </si>
  <si>
    <t>thiklzed</t>
  </si>
  <si>
    <t>fiklvubr</t>
  </si>
  <si>
    <t>bicrebru</t>
  </si>
  <si>
    <t>phezlxep</t>
  </si>
  <si>
    <t>ganixuke</t>
  </si>
  <si>
    <t>chuspoch</t>
  </si>
  <si>
    <t>stebinej</t>
  </si>
  <si>
    <t>tibraqogecut</t>
  </si>
  <si>
    <t>rawreverlfob</t>
  </si>
  <si>
    <t>splrumiqlpra</t>
  </si>
  <si>
    <t>draxlhaprlth</t>
  </si>
  <si>
    <t>bostewukogus</t>
  </si>
  <si>
    <t>gistlpofraji</t>
  </si>
  <si>
    <t>kibrastipuga</t>
  </si>
  <si>
    <t>jojlbomesodo</t>
  </si>
  <si>
    <t>heprochibeka</t>
  </si>
  <si>
    <t>slsinexikave</t>
  </si>
  <si>
    <t>rekihidahlcr</t>
  </si>
  <si>
    <t>pruklfozeswe</t>
  </si>
  <si>
    <t>swuxugewroro</t>
  </si>
  <si>
    <t>bupudrithabo</t>
  </si>
  <si>
    <t>phlgochibogo</t>
  </si>
  <si>
    <t>chunuphlqoml</t>
  </si>
  <si>
    <t>vlpraplfutha</t>
  </si>
  <si>
    <t>chetrekocrlf</t>
  </si>
  <si>
    <t>tracrafepaja</t>
  </si>
  <si>
    <t>trlcruvophed</t>
  </si>
  <si>
    <t>gethabricufropha</t>
  </si>
  <si>
    <t>pojichlflrehlzot</t>
  </si>
  <si>
    <t>splciduprutrufra</t>
  </si>
  <si>
    <t>ricrephlswuphlja</t>
  </si>
  <si>
    <t>vuvimotobristura</t>
  </si>
  <si>
    <t>hunaprlwrastuwok</t>
  </si>
  <si>
    <t>pruwoswlqariswev</t>
  </si>
  <si>
    <t>slswuprezefubrep</t>
  </si>
  <si>
    <t>feparistoyotrisi</t>
  </si>
  <si>
    <t>hemesuwiphoyuswo</t>
  </si>
  <si>
    <t>phatuherajuthlxi</t>
  </si>
  <si>
    <t>cemibispajadistl</t>
  </si>
  <si>
    <t>zimafotruvabrich</t>
  </si>
  <si>
    <t>wlyeswipruwrothi</t>
  </si>
  <si>
    <t>wotrazapreflwutr</t>
  </si>
  <si>
    <t>githejusonudridr</t>
  </si>
  <si>
    <t>boqoplklpheprusp</t>
  </si>
  <si>
    <t>pikuqithujabiyed</t>
  </si>
  <si>
    <t>ciglspljuphespls</t>
  </si>
  <si>
    <t>MipeTuHL</t>
  </si>
  <si>
    <t>ClcrafrI</t>
  </si>
  <si>
    <t>flxizunU</t>
  </si>
  <si>
    <t>kechLSpl</t>
  </si>
  <si>
    <t>potHofUg</t>
  </si>
  <si>
    <t>qoDrItre</t>
  </si>
  <si>
    <t>ruTatLsT</t>
  </si>
  <si>
    <t>robrIMUN</t>
  </si>
  <si>
    <t>guswAqeb</t>
  </si>
  <si>
    <t>PhISpOfr</t>
  </si>
  <si>
    <t>yaqltoNu</t>
  </si>
  <si>
    <t>procuhOd</t>
  </si>
  <si>
    <t>RaDibREv</t>
  </si>
  <si>
    <t>clPHuhoF</t>
  </si>
  <si>
    <t>nocrafOc</t>
  </si>
  <si>
    <t>didizEde</t>
  </si>
  <si>
    <t>brlblGed</t>
  </si>
  <si>
    <t>phLYebru</t>
  </si>
  <si>
    <t>xUfropRe</t>
  </si>
  <si>
    <t>joboCreg</t>
  </si>
  <si>
    <t>DroMoQugLdlS</t>
  </si>
  <si>
    <t>sPazeBAswlfr</t>
  </si>
  <si>
    <t>SwEhLwIgiThi</t>
  </si>
  <si>
    <t>PLgUhetRlXab</t>
  </si>
  <si>
    <t>yEcaTrIwrena</t>
  </si>
  <si>
    <t>BrltrOYedoph</t>
  </si>
  <si>
    <t>yUBreDrixAku</t>
  </si>
  <si>
    <t>Stospawranon</t>
  </si>
  <si>
    <t>FrichImafoPR</t>
  </si>
  <si>
    <t>ZiJlrlstePre</t>
  </si>
  <si>
    <t>DRijERlcUgaX</t>
  </si>
  <si>
    <t>brlchochOBri</t>
  </si>
  <si>
    <t>FrOdREnizAth</t>
  </si>
  <si>
    <t>PRakosubiswL</t>
  </si>
  <si>
    <t>drechiphlVLV</t>
  </si>
  <si>
    <t>piBRuraRuSpe</t>
  </si>
  <si>
    <t>quqethujaDeT</t>
  </si>
  <si>
    <t>maStUSWarIph</t>
  </si>
  <si>
    <t>plRlveswLfly</t>
  </si>
  <si>
    <t>riblnlwRaglt</t>
  </si>
  <si>
    <t>PrAzoDarastiflwl</t>
  </si>
  <si>
    <t>SpaHLCrUjewUbReb</t>
  </si>
  <si>
    <t>CoRuprlhIfrazoTr</t>
  </si>
  <si>
    <t>giSAthawlqatltlw</t>
  </si>
  <si>
    <t>dRowraTHotRataph</t>
  </si>
  <si>
    <t>stawrusastisIwis</t>
  </si>
  <si>
    <t>wihAFiquphojihlp</t>
  </si>
  <si>
    <t>bejadaPUmlxachoC</t>
  </si>
  <si>
    <t>criblqiwROnibehl</t>
  </si>
  <si>
    <t>clylYLstephUzLqa</t>
  </si>
  <si>
    <t>swozlrlplneSweph</t>
  </si>
  <si>
    <t>VospabajLTraQiFi</t>
  </si>
  <si>
    <t>swostiCuprePReRE</t>
  </si>
  <si>
    <t>kUhoyefrAwrOVuhE</t>
  </si>
  <si>
    <t>KiThEPRLCubrifat</t>
  </si>
  <si>
    <t>hidOruRUnICiritu</t>
  </si>
  <si>
    <t>WROziyUtustaFRaW</t>
  </si>
  <si>
    <t>yerlphOzujiylmeB</t>
  </si>
  <si>
    <t>rlXiPHastUCHovlP</t>
  </si>
  <si>
    <t>PixuchaswiBujlfO</t>
  </si>
  <si>
    <t>Dax2Trib</t>
  </si>
  <si>
    <t>bRuc2a5u</t>
  </si>
  <si>
    <t>4rlPhafa</t>
  </si>
  <si>
    <t>9rAsiYU4</t>
  </si>
  <si>
    <t>MuTheq6t</t>
  </si>
  <si>
    <t>t2IBustu</t>
  </si>
  <si>
    <t>7iBr2fRI</t>
  </si>
  <si>
    <t>spaS8I3R</t>
  </si>
  <si>
    <t>tH99ekEs</t>
  </si>
  <si>
    <t>vUyiw2is</t>
  </si>
  <si>
    <t>bAsWud=u</t>
  </si>
  <si>
    <t>tIw$Ebo$</t>
  </si>
  <si>
    <t>crodOsp=</t>
  </si>
  <si>
    <t>B=juchos</t>
  </si>
  <si>
    <t>p-Eqefri</t>
  </si>
  <si>
    <t>caD?acri</t>
  </si>
  <si>
    <t>vocusT-T</t>
  </si>
  <si>
    <t>prE?w&amp;Cr</t>
  </si>
  <si>
    <t>tUst?fip</t>
  </si>
  <si>
    <t>vLpRak@$</t>
  </si>
  <si>
    <t>thoY-&amp;imOdrE</t>
  </si>
  <si>
    <t>-hubaChlx?p=</t>
  </si>
  <si>
    <t>tovAsw=PhORo</t>
  </si>
  <si>
    <t>brob!s*MetRu</t>
  </si>
  <si>
    <t>Zl=uFlsLswEb</t>
  </si>
  <si>
    <t>piS-chim@+He</t>
  </si>
  <si>
    <t>dlp@EbRetrub</t>
  </si>
  <si>
    <t>cr+dutlNiyoJ</t>
  </si>
  <si>
    <t>Pr$dR_plji?l</t>
  </si>
  <si>
    <t>CrEP*_cRLfR-</t>
  </si>
  <si>
    <t>7Ebukumuspon</t>
  </si>
  <si>
    <t>Stlp4aSTep5e</t>
  </si>
  <si>
    <t>ri7U0oPrOCl9</t>
  </si>
  <si>
    <t>DRe7lP15wicr</t>
  </si>
  <si>
    <t>Tis6edrAdrIj</t>
  </si>
  <si>
    <t>Bi1lwrOc9Sib</t>
  </si>
  <si>
    <t>yLwrEdeweja8</t>
  </si>
  <si>
    <t>fr43eKojAdAm</t>
  </si>
  <si>
    <t>blZonedre8ro</t>
  </si>
  <si>
    <t>4Od65achecro</t>
  </si>
  <si>
    <t>NuCHe8Of3j8fama3</t>
  </si>
  <si>
    <t>wrLn2ru7eZu7ricu</t>
  </si>
  <si>
    <t>swavich23h1peweT</t>
  </si>
  <si>
    <t>bopro6e8u1OproWr</t>
  </si>
  <si>
    <t>2hostodrahe1ENos</t>
  </si>
  <si>
    <t>44SadRepRaJld96P</t>
  </si>
  <si>
    <t>6ot9fepeRoXuphAc</t>
  </si>
  <si>
    <t>thoWapRUSpemeC9e</t>
  </si>
  <si>
    <t>sodrAs062RldOs5e</t>
  </si>
  <si>
    <t>rospeDe7tabr7f6a</t>
  </si>
  <si>
    <t>bL$rIvAtecROMePi</t>
  </si>
  <si>
    <t>yufRa!ri&amp;wl?Rifr</t>
  </si>
  <si>
    <t>G#ko$Racedriw?o_</t>
  </si>
  <si>
    <t>&amp;WEFehE!LqUja_$X</t>
  </si>
  <si>
    <t>C$lfayIxiyomlsUw</t>
  </si>
  <si>
    <t>truvac=#dI+imlfr</t>
  </si>
  <si>
    <t>CruSpL!AsO&amp;wa_Ru</t>
  </si>
  <si>
    <t>m?cA?RUb&amp;crOcen!</t>
  </si>
  <si>
    <t>bra?ub$w@BITR_ca</t>
  </si>
  <si>
    <t>kl_uPRi@raswiC_u</t>
  </si>
  <si>
    <t>g4VeD-9Y</t>
  </si>
  <si>
    <t>x-Wrl8uH</t>
  </si>
  <si>
    <t>?3gA&amp;iwA</t>
  </si>
  <si>
    <t>ha$Lxe53</t>
  </si>
  <si>
    <t>Plm@8it$</t>
  </si>
  <si>
    <t>Rari*3T2</t>
  </si>
  <si>
    <t>zOj=QA$4</t>
  </si>
  <si>
    <t>t8o?-lS1</t>
  </si>
  <si>
    <t>p33@ICRu</t>
  </si>
  <si>
    <t>v13rOc&amp;t</t>
  </si>
  <si>
    <t>br-yI!1p</t>
  </si>
  <si>
    <t>W9lbRlS?</t>
  </si>
  <si>
    <t>_uzoBA_4</t>
  </si>
  <si>
    <t>B8upLS=U</t>
  </si>
  <si>
    <t>CHof?-f0</t>
  </si>
  <si>
    <t>&amp;Uphib&amp;1</t>
  </si>
  <si>
    <t>jA7h!f?j</t>
  </si>
  <si>
    <t>t18*AxU*</t>
  </si>
  <si>
    <t>C0W*A?r1</t>
  </si>
  <si>
    <t>plj1S6i@</t>
  </si>
  <si>
    <t>paXlyE1R?B6S</t>
  </si>
  <si>
    <t>!LJi9IMekAho</t>
  </si>
  <si>
    <t>c@V@9RitHobe</t>
  </si>
  <si>
    <t>jOmu1$plWR=p</t>
  </si>
  <si>
    <t>!redR1q!*EJl</t>
  </si>
  <si>
    <t>8HlwRldlZE&amp;U</t>
  </si>
  <si>
    <t>$u5Acof9@rU+</t>
  </si>
  <si>
    <t>GL+i138Tach$</t>
  </si>
  <si>
    <t>Vo@Eqlc!6o58</t>
  </si>
  <si>
    <t>!enob1S=8thu</t>
  </si>
  <si>
    <t>q#5@S9OWRU-8</t>
  </si>
  <si>
    <t>B8=edOchOpH@</t>
  </si>
  <si>
    <t>0i80iphOs$yi</t>
  </si>
  <si>
    <t>BR2humeS_UsP</t>
  </si>
  <si>
    <t>_LC=mid!3sti</t>
  </si>
  <si>
    <t>SP11-StlHaso</t>
  </si>
  <si>
    <t>5LTrLkAj8cr#</t>
  </si>
  <si>
    <t>Ph_y47ab9ITH</t>
  </si>
  <si>
    <t>=7TaKoXeteSW</t>
  </si>
  <si>
    <t>5w#0U#$zOzLd</t>
  </si>
  <si>
    <t>xiVApL0h!xlyINaz</t>
  </si>
  <si>
    <t>2lTOP&amp;mEda9RoJIT</t>
  </si>
  <si>
    <t>kl4rld9ylWrl@8dr</t>
  </si>
  <si>
    <t>9Ls?#daSpIxlTeYu</t>
  </si>
  <si>
    <t>$!h3S8eb!PeRUdR!</t>
  </si>
  <si>
    <t>!hiT-lPHotrag?w2</t>
  </si>
  <si>
    <t>r@ph-!hI6waNinim</t>
  </si>
  <si>
    <t>=*lhE7$cRi0+Ep67</t>
  </si>
  <si>
    <t>H8Va&amp;ro!lh7+3nlq</t>
  </si>
  <si>
    <t>v@HoCrlvav308qIp</t>
  </si>
  <si>
    <t>satLta*T2H31r2za</t>
  </si>
  <si>
    <t>ne51&amp;PO6pICh!pR7</t>
  </si>
  <si>
    <t>?+fraz98rophU8ic</t>
  </si>
  <si>
    <t>SiW!!lb#5aYavOt=</t>
  </si>
  <si>
    <t>7ip8iP=4pAz$&amp;owr</t>
  </si>
  <si>
    <t>xegl=pu02wreNuxA</t>
  </si>
  <si>
    <t>PAHi7aWi+HItR=ca</t>
  </si>
  <si>
    <t>=&amp;yAk3tAcrukOxas</t>
  </si>
  <si>
    <t>*r7SwuSt4PhOcr$m</t>
  </si>
  <si>
    <t>FRI4I?t5=eC1E6!u</t>
  </si>
  <si>
    <t>cpuetoqw</t>
  </si>
  <si>
    <t>tgtjqqre</t>
  </si>
  <si>
    <t>svnveryj</t>
  </si>
  <si>
    <t>ytsuobji</t>
  </si>
  <si>
    <t>dnxusqre</t>
  </si>
  <si>
    <t>gakdvawu</t>
  </si>
  <si>
    <t>tkoftuyc</t>
  </si>
  <si>
    <t>dkcaxykd</t>
  </si>
  <si>
    <t>xhfxaivv</t>
  </si>
  <si>
    <t>tdgjogmr</t>
  </si>
  <si>
    <t>ehuqrcca</t>
  </si>
  <si>
    <t>yvkvcxbe</t>
  </si>
  <si>
    <t>ohexhpdk</t>
  </si>
  <si>
    <t>apdycmow</t>
  </si>
  <si>
    <t>pkqagwok</t>
  </si>
  <si>
    <t>fqxfazcf</t>
  </si>
  <si>
    <t>unwjjmoz</t>
  </si>
  <si>
    <t>scdhgkvv</t>
  </si>
  <si>
    <t>vkmtdzrg</t>
  </si>
  <si>
    <t>bcqhacjy</t>
  </si>
  <si>
    <t>Boa</t>
  </si>
  <si>
    <t>ngfrxpjwxxuf</t>
  </si>
  <si>
    <t>rzdqwqwafkmn</t>
  </si>
  <si>
    <t>qdxxgswjyofm</t>
  </si>
  <si>
    <t>azotnoruddyv</t>
  </si>
  <si>
    <t>mpjicgoavhrm</t>
  </si>
  <si>
    <t>kzomnwwhexcc</t>
  </si>
  <si>
    <t>yadyhmztakwn</t>
  </si>
  <si>
    <t>qqbmtnbrxwia</t>
  </si>
  <si>
    <t>uemxqkuhxjkm</t>
  </si>
  <si>
    <t>pvnfanfomghu</t>
  </si>
  <si>
    <t>icodgnmtbqew</t>
  </si>
  <si>
    <t>kpguokppbrgr</t>
  </si>
  <si>
    <t>apubnhezczaw</t>
  </si>
  <si>
    <t>dzyhedruvmvw</t>
  </si>
  <si>
    <t>eapqkoxggtqy</t>
  </si>
  <si>
    <t>gokeqktdqwwb</t>
  </si>
  <si>
    <t>iwggazxjpdqf</t>
  </si>
  <si>
    <t>fhvdborasqxn</t>
  </si>
  <si>
    <t>hshwtiepuuza</t>
  </si>
  <si>
    <t>nrbjdbgrkkqf</t>
  </si>
  <si>
    <t>wzijuchxubjnysrt</t>
  </si>
  <si>
    <t>foxavdyvkiwowcbd</t>
  </si>
  <si>
    <t>gmsqmvvagftuvdxx</t>
  </si>
  <si>
    <t>pyqkizermwvnjzwj</t>
  </si>
  <si>
    <t>kubfdqdgugwvwqxe</t>
  </si>
  <si>
    <t>gttxoqsryqnayywi</t>
  </si>
  <si>
    <t>xzedesdevxytibvf</t>
  </si>
  <si>
    <t>tteckyojuptuqxwp</t>
  </si>
  <si>
    <t>cawibssmkyxotoox</t>
  </si>
  <si>
    <t>kzckvnqttbhptysu</t>
  </si>
  <si>
    <t>fkevunpvgurkwsiu</t>
  </si>
  <si>
    <t>iqawjqmvatuyqyft</t>
  </si>
  <si>
    <t>ztyjpitwrtpmxorc</t>
  </si>
  <si>
    <t>snduvowkmnugmxcu</t>
  </si>
  <si>
    <t>dpdgkiqqbhgbemdu</t>
  </si>
  <si>
    <t>bqgzccpezxegpotc</t>
  </si>
  <si>
    <t>riakgbaooatvszya</t>
  </si>
  <si>
    <t>vojgzevcyobnqkmx</t>
  </si>
  <si>
    <t>qfrzpdswjccgzfkc</t>
  </si>
  <si>
    <t>vooguqyaovseixzo</t>
  </si>
  <si>
    <t>DcKFEDaj</t>
  </si>
  <si>
    <t>ipSnkiaA</t>
  </si>
  <si>
    <t>pyLyrBpi</t>
  </si>
  <si>
    <t>VQaKbbxp</t>
  </si>
  <si>
    <t>KfHpFzbQ</t>
  </si>
  <si>
    <t>xDvrdHyj</t>
  </si>
  <si>
    <t>fjUeSRyZ</t>
  </si>
  <si>
    <t>UHGAqHxJ</t>
  </si>
  <si>
    <t>ucogZDbp</t>
  </si>
  <si>
    <t>BBmWPtHV</t>
  </si>
  <si>
    <t>pcmAjXwB</t>
  </si>
  <si>
    <t>LgGJXWWm</t>
  </si>
  <si>
    <t>PpzFKbWN</t>
  </si>
  <si>
    <t>CgGPstbP</t>
  </si>
  <si>
    <t>MJHrGzDC</t>
  </si>
  <si>
    <t>hsJgneRG</t>
  </si>
  <si>
    <t>foBSguHx</t>
  </si>
  <si>
    <t>eCikhYUA</t>
  </si>
  <si>
    <t>mFFvdqVY</t>
  </si>
  <si>
    <t>ciawnfQe</t>
  </si>
  <si>
    <t>WXfUgAtqzZng</t>
  </si>
  <si>
    <t>CripESWWMufz</t>
  </si>
  <si>
    <t>ZEpaGKFveagU</t>
  </si>
  <si>
    <t>wFWsQpPnoXpr</t>
  </si>
  <si>
    <t>KvgqHWkUzNSw</t>
  </si>
  <si>
    <t>rzdLSWawiTpH</t>
  </si>
  <si>
    <t>mXUFVMtpMYGg</t>
  </si>
  <si>
    <t>bRirsHbdRyaG</t>
  </si>
  <si>
    <t>kbMhcjLSSFqS</t>
  </si>
  <si>
    <t>ZbxzLqavBivY</t>
  </si>
  <si>
    <t>VUUqDwHzqFBH</t>
  </si>
  <si>
    <t>DdiuAMfYUwnX</t>
  </si>
  <si>
    <t>CaDbFGCbmjHx</t>
  </si>
  <si>
    <t>fovueqboZJAY</t>
  </si>
  <si>
    <t>PRLgwaPbfZZm</t>
  </si>
  <si>
    <t>HvDysBqtUmGs</t>
  </si>
  <si>
    <t>MVCoXKRvRkdD</t>
  </si>
  <si>
    <t>gMtEpEYcqPTu</t>
  </si>
  <si>
    <t>GyNkjyxuUqSp</t>
  </si>
  <si>
    <t>bodMkUEaqXhZ</t>
  </si>
  <si>
    <t>fQcKoRXRdyXaCkpd</t>
  </si>
  <si>
    <t>vmDdDoTLPfuFYCAY</t>
  </si>
  <si>
    <t>QijmABXcXqsYvrat</t>
  </si>
  <si>
    <t>BeHsCUCRKreAtnDB</t>
  </si>
  <si>
    <t>AMPAoBzxQkwcotBZ</t>
  </si>
  <si>
    <t>LdANmivyQPyvLWFR</t>
  </si>
  <si>
    <t>kWbqRLeRYkNwwSWm</t>
  </si>
  <si>
    <t>HFDWNiTPAnQvtBuz</t>
  </si>
  <si>
    <t>mgeMxNCCBKvJhBjj</t>
  </si>
  <si>
    <t>CYbmNDPyQhgutKYe</t>
  </si>
  <si>
    <t>HyisLSTZKvSvGEPH</t>
  </si>
  <si>
    <t>NNfnGymfcJXfVQFT</t>
  </si>
  <si>
    <t>mXrNaiBHQDwwCNhN</t>
  </si>
  <si>
    <t>PdgeGKXpdvRNkshL</t>
  </si>
  <si>
    <t>nTgHAjgGddbbhSNw</t>
  </si>
  <si>
    <t>HhqrhoNdFAJtpyLc</t>
  </si>
  <si>
    <t>giXnrTJqCTphEPsc</t>
  </si>
  <si>
    <t>PovPMcuxQYffGbww</t>
  </si>
  <si>
    <t>HcCFcMGwDjnUNVch</t>
  </si>
  <si>
    <t>WUNuyvmPuHuDjYrk</t>
  </si>
  <si>
    <t>m5DV7eRM</t>
  </si>
  <si>
    <t>8tYSMtpv</t>
  </si>
  <si>
    <t>wxtNQbU3</t>
  </si>
  <si>
    <t>YUQ2ddRM</t>
  </si>
  <si>
    <t>Muito Fraca</t>
  </si>
  <si>
    <t>KupsGgW5</t>
  </si>
  <si>
    <t>gEGjsWPS</t>
  </si>
  <si>
    <t>F3PMz4T4</t>
  </si>
  <si>
    <t>Ymcvt4Xt</t>
  </si>
  <si>
    <t>TS2UbeSV</t>
  </si>
  <si>
    <t>rCaoGjqc</t>
  </si>
  <si>
    <t>vXCQDGnG</t>
  </si>
  <si>
    <t>bZ#FqZpw</t>
  </si>
  <si>
    <t>#f^BcRvf</t>
  </si>
  <si>
    <t>T@!pARL$</t>
  </si>
  <si>
    <t>n%*CJDwe</t>
  </si>
  <si>
    <t>SKiiXehT</t>
  </si>
  <si>
    <t>fvXhZ#oe</t>
  </si>
  <si>
    <t>oX!GzCCf</t>
  </si>
  <si>
    <t>E#rgKNCX</t>
  </si>
  <si>
    <t>!dGHUHUD</t>
  </si>
  <si>
    <t>Lpv$zJGJFkpP</t>
  </si>
  <si>
    <t>&amp;KpWaRRsSMxi</t>
  </si>
  <si>
    <t>w^^LiHAMTdm@</t>
  </si>
  <si>
    <t>!LgmaSg%zaE^</t>
  </si>
  <si>
    <t>PyobDECrxwsX</t>
  </si>
  <si>
    <t>RiGPsKkua%Dv</t>
  </si>
  <si>
    <t>zpCG#Jbi@Len</t>
  </si>
  <si>
    <t>AZoxR%QhUCH%</t>
  </si>
  <si>
    <t>CpqrMxTrpKTy</t>
  </si>
  <si>
    <t>CJP$v^zwMkAa</t>
  </si>
  <si>
    <t>oQs93SdYo8fJ</t>
  </si>
  <si>
    <t>DggmQcjuBuB9</t>
  </si>
  <si>
    <t>Zj6CpWKSPaWZ</t>
  </si>
  <si>
    <t>UnKkBqdZFGMq</t>
  </si>
  <si>
    <t>jA8mwwPAcc4T</t>
  </si>
  <si>
    <t>KMdach9noven</t>
  </si>
  <si>
    <t>h3dLuQ4PwRus</t>
  </si>
  <si>
    <t>UgrYeCgzjCug</t>
  </si>
  <si>
    <t>ABEd9WwEVk6r</t>
  </si>
  <si>
    <t>p8hV8eWxsbLH</t>
  </si>
  <si>
    <t>5q2WXGTwS9haZfYk</t>
  </si>
  <si>
    <t>Q6qigWne7LkyqToF</t>
  </si>
  <si>
    <t>28Derr3SjJKtwccf</t>
  </si>
  <si>
    <t>azhinuMTPo92SZbn</t>
  </si>
  <si>
    <t>GauwP7cFo997RhiA</t>
  </si>
  <si>
    <t>a2xHZ4nAuPtsgU6T</t>
  </si>
  <si>
    <t>X5mFxbqkFZZMFAxZ</t>
  </si>
  <si>
    <t>bDP7PMVoxuKszg2R</t>
  </si>
  <si>
    <t>b92SEgsoZXXGkxNk</t>
  </si>
  <si>
    <t>UgWfdHTyhzjEDzwr</t>
  </si>
  <si>
    <t>GNrEMjQTgVass#Kb</t>
  </si>
  <si>
    <t>rUuEtDPTaCDDCZz!</t>
  </si>
  <si>
    <t>%gHugS!Kh*B%uLcw</t>
  </si>
  <si>
    <t>FfnhbAbftLTWfoNd</t>
  </si>
  <si>
    <t>k^aXamS@kwvMRJ#m</t>
  </si>
  <si>
    <t>y@YDoa@hcsSXdr&amp;G</t>
  </si>
  <si>
    <t>yhDofMhkWsQGVEZk</t>
  </si>
  <si>
    <t>$hAFdUgYUwz&amp;tttF</t>
  </si>
  <si>
    <t>PikGevLsQzbQzR&amp;p</t>
  </si>
  <si>
    <t>B^vP%hVicge%YDfz</t>
  </si>
  <si>
    <t>rsu7gXxX</t>
  </si>
  <si>
    <t>ehK6Z5Ef</t>
  </si>
  <si>
    <t>Y9epeTpx</t>
  </si>
  <si>
    <t>kM@3i8Fo</t>
  </si>
  <si>
    <t>i8o7z#Yu</t>
  </si>
  <si>
    <t>A66fMTtn</t>
  </si>
  <si>
    <t>MD!qFN&amp;$</t>
  </si>
  <si>
    <t>NJgoJu5^</t>
  </si>
  <si>
    <t>DHTcE3qb</t>
  </si>
  <si>
    <t>FYuLtcmH</t>
  </si>
  <si>
    <t>Cr!c3QbX</t>
  </si>
  <si>
    <t>VCreFMRP</t>
  </si>
  <si>
    <t>naEKvEMr</t>
  </si>
  <si>
    <t>ZUc9^4FY</t>
  </si>
  <si>
    <t>wzKYz2Jp</t>
  </si>
  <si>
    <t>pw%LXS%d</t>
  </si>
  <si>
    <t>7RHEgKpS</t>
  </si>
  <si>
    <t>WyY5f^e4</t>
  </si>
  <si>
    <t>&amp;CV2SYk4</t>
  </si>
  <si>
    <t>y&amp;rJEdk6^jJN</t>
  </si>
  <si>
    <t>Uygv*PbUBFj^</t>
  </si>
  <si>
    <t>G4g7#p4RG3kA</t>
  </si>
  <si>
    <t>#C!SmDV4AxSj</t>
  </si>
  <si>
    <t>*$^b&amp;F^MMaLx</t>
  </si>
  <si>
    <t>DctTijxHtmS$</t>
  </si>
  <si>
    <t>fsj4jrd3nrJP</t>
  </si>
  <si>
    <t>zTJA7tSw@vEk</t>
  </si>
  <si>
    <t>mogg*H7YL$m2</t>
  </si>
  <si>
    <t>MraXpB53gfSk</t>
  </si>
  <si>
    <t>CcTbLMzxS2$W</t>
  </si>
  <si>
    <t>t3fVDW^xT*A7</t>
  </si>
  <si>
    <t>VeKpUMic7erF</t>
  </si>
  <si>
    <t>bdRmi6LPtRUD</t>
  </si>
  <si>
    <t>vXNWqt7pEaWN</t>
  </si>
  <si>
    <t>Q$5pBXSZfSU2</t>
  </si>
  <si>
    <t>sWTpJgJsCzMk</t>
  </si>
  <si>
    <t>BrNj@n5^zGNn</t>
  </si>
  <si>
    <t>RMvJuBKkJXCb</t>
  </si>
  <si>
    <t>xSGe*q5aEcfg</t>
  </si>
  <si>
    <t>a2vbVGUfyfwUCyQ#</t>
  </si>
  <si>
    <t>nueoT2$WW!fvS&amp;jv</t>
  </si>
  <si>
    <t>vp$Uq6tiReeJt8K*</t>
  </si>
  <si>
    <t>KK66QRNpq5M2sYt5</t>
  </si>
  <si>
    <t>mTApPPR3Sy4Sv&amp;m9</t>
  </si>
  <si>
    <t>w$P6B7!mxN6LPMLn</t>
  </si>
  <si>
    <t>!z9HpeqFti!Vc7Zd</t>
  </si>
  <si>
    <t>ViPVen9utLAB^LnD</t>
  </si>
  <si>
    <t>bm5GroLxVF3feaES</t>
  </si>
  <si>
    <t>6hoebdAWhDaJDFWD</t>
  </si>
  <si>
    <t>e$R3vuaK*g#sJyP2</t>
  </si>
  <si>
    <t>Qrpt7PpnA*P2tmPo</t>
  </si>
  <si>
    <t>zRWnuA!tyb8B!^79</t>
  </si>
  <si>
    <t>xiNz*FV@d^dtaPZf</t>
  </si>
  <si>
    <t>Kkq$459PfoN@SKu8</t>
  </si>
  <si>
    <t>^Fvu3u*93p3FEozt</t>
  </si>
  <si>
    <t>ztXXJyZUVkgtE3a^</t>
  </si>
  <si>
    <t>b^Lyx%4s%43GoS@y</t>
  </si>
  <si>
    <t>2AukD!!B3mZE3p$y</t>
  </si>
  <si>
    <t>score_shannon</t>
  </si>
  <si>
    <t>entropy_shannon (bits)</t>
  </si>
  <si>
    <t>guesses_shannon (log₁₀)</t>
  </si>
  <si>
    <t>guesses_zxcvbn (log₁₀)</t>
  </si>
  <si>
    <t>tqe10_shannon (log₁₀ em anos)</t>
  </si>
  <si>
    <t>tqe10k_shannon (log₁₀ em anos)</t>
  </si>
  <si>
    <t>tqe10_zxcvbn (log₁₀ em anos)</t>
  </si>
  <si>
    <t>tqe10k_zxcvbn (log₁₀ em anos)</t>
  </si>
  <si>
    <t>8 caracteres</t>
  </si>
  <si>
    <t>12 caracteres</t>
  </si>
  <si>
    <t>16 caracteres</t>
  </si>
  <si>
    <t>score shannon</t>
  </si>
  <si>
    <t>guesses_shannon</t>
  </si>
  <si>
    <t>tqe10_shannon</t>
  </si>
  <si>
    <t>tqe10k_shannon</t>
  </si>
  <si>
    <t>tqe10_zxcvbn</t>
  </si>
  <si>
    <t>tqe10k_zxcvbn</t>
  </si>
  <si>
    <t>Legenda</t>
  </si>
  <si>
    <t>2log₁₀</t>
  </si>
  <si>
    <t>5log₁₀</t>
  </si>
  <si>
    <t>10log₁₀</t>
  </si>
  <si>
    <t>15log₁₀</t>
  </si>
  <si>
    <t>20log₁₀</t>
  </si>
  <si>
    <t>30log₁₀</t>
  </si>
  <si>
    <t>10 bilhões</t>
  </si>
  <si>
    <t>1 quatrilhão</t>
  </si>
  <si>
    <t>100 quintilhões</t>
  </si>
  <si>
    <t>1 nonilhão</t>
  </si>
  <si>
    <t>em grãos de areia</t>
  </si>
  <si>
    <t>palma da mão</t>
  </si>
  <si>
    <t>xícara</t>
  </si>
  <si>
    <t>caminhão basculante</t>
  </si>
  <si>
    <t>praia de copacabana</t>
  </si>
  <si>
    <t>Todas praia e desertos</t>
  </si>
  <si>
    <t>Encheria a Terra 10.000</t>
  </si>
  <si>
    <t>Score PM</t>
  </si>
  <si>
    <t>score PM</t>
  </si>
  <si>
    <t>-5log₁₀</t>
  </si>
  <si>
    <t>Alguns minutos</t>
  </si>
  <si>
    <t>Classe 4</t>
  </si>
  <si>
    <t>Complexa</t>
  </si>
  <si>
    <t>guesses_zxcvbn</t>
  </si>
  <si>
    <t>37.6</t>
  </si>
  <si>
    <t>56.41</t>
  </si>
  <si>
    <t>75.21</t>
  </si>
  <si>
    <t>45.6</t>
  </si>
  <si>
    <t>68.41</t>
  </si>
  <si>
    <t>91.21</t>
  </si>
  <si>
    <t>47.63</t>
  </si>
  <si>
    <t>51.14</t>
  </si>
  <si>
    <t>71.45</t>
  </si>
  <si>
    <t>76.71</t>
  </si>
  <si>
    <t>95.27</t>
  </si>
  <si>
    <t>102.28</t>
  </si>
  <si>
    <t>52.44</t>
  </si>
  <si>
    <t>78.66</t>
  </si>
  <si>
    <t>104.87</t>
  </si>
  <si>
    <t>entropy_shannon</t>
  </si>
  <si>
    <t>CR</t>
  </si>
  <si>
    <t>Xqm#frb9</t>
  </si>
  <si>
    <t>score zxcvbn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</si>
</sst>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2" fontId="0" fillId="0" borderId="0" xfId="0" applyNumberFormat="1"/>
    <xf numFmtId="1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/>
    <xf numFmtId="0" fontId="0" fillId="0" borderId="6" xfId="0" applyBorder="1"/>
    <xf numFmtId="1" fontId="0" fillId="0" borderId="6" xfId="0" applyNumberFormat="1" applyBorder="1"/>
    <xf numFmtId="2" fontId="0" fillId="0" borderId="6" xfId="0" applyNumberFormat="1" applyBorder="1"/>
    <xf numFmtId="0" fontId="0" fillId="0" borderId="11" xfId="0" applyBorder="1"/>
    <xf numFmtId="1" fontId="0" fillId="0" borderId="11" xfId="0" applyNumberFormat="1" applyBorder="1"/>
    <xf numFmtId="2" fontId="0" fillId="0" borderId="11" xfId="0" applyNumberFormat="1" applyBorder="1"/>
    <xf numFmtId="0" fontId="0" fillId="0" borderId="2" xfId="0" applyBorder="1"/>
    <xf numFmtId="0" fontId="0" fillId="0" borderId="4" xfId="0" applyBorder="1"/>
    <xf numFmtId="2" fontId="0" fillId="0" borderId="4" xfId="0" applyNumberFormat="1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12" xfId="0" applyBorder="1"/>
    <xf numFmtId="0" fontId="0" fillId="0" borderId="5" xfId="0" applyBorder="1"/>
    <xf numFmtId="0" fontId="0" fillId="0" borderId="8" xfId="0" applyBorder="1"/>
    <xf numFmtId="0" fontId="0" fillId="0" borderId="10" xfId="0" applyBorder="1"/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5" borderId="9" xfId="0" applyFill="1" applyBorder="1" applyAlignment="1">
      <alignment horizontal="center" vertical="center" textRotation="45"/>
    </xf>
    <xf numFmtId="0" fontId="0" fillId="4" borderId="9" xfId="0" applyFill="1" applyBorder="1" applyAlignment="1">
      <alignment horizontal="center" vertical="center" textRotation="45"/>
    </xf>
    <xf numFmtId="0" fontId="0" fillId="3" borderId="9" xfId="0" applyFill="1" applyBorder="1" applyAlignment="1">
      <alignment horizontal="center" vertical="center" textRotation="45"/>
    </xf>
    <xf numFmtId="0" fontId="0" fillId="0" borderId="1" xfId="0" applyBorder="1" applyAlignment="1">
      <alignment horizontal="center"/>
    </xf>
    <xf numFmtId="0" fontId="0" fillId="2" borderId="9" xfId="0" applyFill="1" applyBorder="1" applyAlignment="1">
      <alignment horizontal="center" vertical="center" textRotation="45"/>
    </xf>
    <xf numFmtId="0" fontId="0" fillId="0" borderId="13" xfId="0" applyBorder="1" applyAlignment="1">
      <alignment horizontal="center" textRotation="45"/>
    </xf>
    <xf numFmtId="0" fontId="0" fillId="0" borderId="14" xfId="0" applyBorder="1" applyAlignment="1">
      <alignment horizontal="center" textRotation="45"/>
    </xf>
    <xf numFmtId="0" fontId="0" fillId="0" borderId="15" xfId="0" applyBorder="1" applyAlignment="1">
      <alignment horizontal="center" textRotation="45"/>
    </xf>
    <xf numFmtId="1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 textRotation="90"/>
    </xf>
    <xf numFmtId="0" fontId="0" fillId="0" borderId="13" xfId="0" applyBorder="1" applyAlignment="1">
      <alignment horizontal="center" vertical="center" textRotation="45"/>
    </xf>
    <xf numFmtId="0" fontId="0" fillId="0" borderId="14" xfId="0" applyBorder="1" applyAlignment="1">
      <alignment horizontal="center" vertical="center" textRotation="45"/>
    </xf>
    <xf numFmtId="0" fontId="0" fillId="0" borderId="15" xfId="0" applyBorder="1" applyAlignment="1">
      <alignment horizontal="center" vertical="center" textRotation="45"/>
    </xf>
    <xf numFmtId="0" fontId="0" fillId="5" borderId="9" xfId="0" applyFill="1" applyBorder="1" applyAlignment="1">
      <alignment horizontal="center" textRotation="45"/>
    </xf>
    <xf numFmtId="0" fontId="0" fillId="4" borderId="9" xfId="0" applyFill="1" applyBorder="1" applyAlignment="1">
      <alignment horizontal="center" textRotation="45"/>
    </xf>
    <xf numFmtId="0" fontId="0" fillId="3" borderId="9" xfId="0" applyFill="1" applyBorder="1" applyAlignment="1">
      <alignment horizontal="center" textRotation="45"/>
    </xf>
    <xf numFmtId="0" fontId="0" fillId="2" borderId="9" xfId="0" applyFill="1" applyBorder="1" applyAlignment="1">
      <alignment horizontal="center" textRotation="45"/>
    </xf>
    <xf numFmtId="0" fontId="1" fillId="0" borderId="5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2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82716"/>
      <color rgb="FFD46838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Bitwarden!$S$74</c:f>
              <c:strCache>
                <c:ptCount val="1"/>
                <c:pt idx="0">
                  <c:v>8 caracteres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Bitwarden!$Q$75:$R$98</c:f>
              <c:multiLvlStrCache>
                <c:ptCount val="24"/>
                <c:lvl>
                  <c:pt idx="0">
                    <c:v>guesses_zxcvbn</c:v>
                  </c:pt>
                  <c:pt idx="1">
                    <c:v>tqe10_zxcvbn</c:v>
                  </c:pt>
                  <c:pt idx="2">
                    <c:v>tqe10k_zxcvbn</c:v>
                  </c:pt>
                  <c:pt idx="3">
                    <c:v>guesses_shannon</c:v>
                  </c:pt>
                  <c:pt idx="4">
                    <c:v>tqe10_shannon</c:v>
                  </c:pt>
                  <c:pt idx="5">
                    <c:v>tqe10k_shannon</c:v>
                  </c:pt>
                  <c:pt idx="6">
                    <c:v>guesses_zxcvbn</c:v>
                  </c:pt>
                  <c:pt idx="7">
                    <c:v>tqe10_zxcvbn</c:v>
                  </c:pt>
                  <c:pt idx="8">
                    <c:v>tqe10k_zxcvbn</c:v>
                  </c:pt>
                  <c:pt idx="9">
                    <c:v>guesses_shannon</c:v>
                  </c:pt>
                  <c:pt idx="10">
                    <c:v>tqe10_shannon</c:v>
                  </c:pt>
                  <c:pt idx="11">
                    <c:v>tqe10k_shannon</c:v>
                  </c:pt>
                  <c:pt idx="12">
                    <c:v>guesses_zxcvbn</c:v>
                  </c:pt>
                  <c:pt idx="13">
                    <c:v>tqe10_zxcvbn</c:v>
                  </c:pt>
                  <c:pt idx="14">
                    <c:v>tqe10k_zxcvbn</c:v>
                  </c:pt>
                  <c:pt idx="15">
                    <c:v>guesses_shannon</c:v>
                  </c:pt>
                  <c:pt idx="16">
                    <c:v>tqe10_shannon</c:v>
                  </c:pt>
                  <c:pt idx="17">
                    <c:v>tqe10k_shannon</c:v>
                  </c:pt>
                  <c:pt idx="18">
                    <c:v>guesses_zxcvbn</c:v>
                  </c:pt>
                  <c:pt idx="19">
                    <c:v>tqe10_zxcvbn</c:v>
                  </c:pt>
                  <c:pt idx="20">
                    <c:v>tqe10k_zxcvbn</c:v>
                  </c:pt>
                  <c:pt idx="21">
                    <c:v>guesses_shannon</c:v>
                  </c:pt>
                  <c:pt idx="22">
                    <c:v>tqe10_shannon</c:v>
                  </c:pt>
                  <c:pt idx="23">
                    <c:v>tqe10k_shannon</c:v>
                  </c:pt>
                </c:lvl>
                <c:lvl>
                  <c:pt idx="0">
                    <c:v>Classe 1</c:v>
                  </c:pt>
                  <c:pt idx="6">
                    <c:v>Classe 2</c:v>
                  </c:pt>
                  <c:pt idx="12">
                    <c:v>Classe 3</c:v>
                  </c:pt>
                  <c:pt idx="18">
                    <c:v>Classe 4</c:v>
                  </c:pt>
                </c:lvl>
              </c:multiLvlStrCache>
            </c:multiLvlStrRef>
          </c:cat>
          <c:val>
            <c:numRef>
              <c:f>Bitwarden!$S$75:$S$98</c:f>
              <c:numCache>
                <c:formatCode>0.00</c:formatCode>
                <c:ptCount val="24"/>
                <c:pt idx="0">
                  <c:v>8</c:v>
                </c:pt>
                <c:pt idx="1">
                  <c:v>-0.5</c:v>
                </c:pt>
                <c:pt idx="2">
                  <c:v>-3.5</c:v>
                </c:pt>
                <c:pt idx="3">
                  <c:v>11.319999999999997</c:v>
                </c:pt>
                <c:pt idx="4">
                  <c:v>2.82</c:v>
                </c:pt>
                <c:pt idx="5">
                  <c:v>-0.18000000000000005</c:v>
                </c:pt>
                <c:pt idx="6">
                  <c:v>8</c:v>
                </c:pt>
                <c:pt idx="7">
                  <c:v>-0.5</c:v>
                </c:pt>
                <c:pt idx="8">
                  <c:v>-3.5</c:v>
                </c:pt>
                <c:pt idx="9">
                  <c:v>13.729999999999999</c:v>
                </c:pt>
                <c:pt idx="10">
                  <c:v>5.2300000000000022</c:v>
                </c:pt>
                <c:pt idx="11">
                  <c:v>2.2299999999999995</c:v>
                </c:pt>
                <c:pt idx="12">
                  <c:v>7.9064999999999994</c:v>
                </c:pt>
                <c:pt idx="13">
                  <c:v>-0.59299999999999997</c:v>
                </c:pt>
                <c:pt idx="14">
                  <c:v>-3.593</c:v>
                </c:pt>
                <c:pt idx="15">
                  <c:v>14.637999999999996</c:v>
                </c:pt>
                <c:pt idx="16">
                  <c:v>6.142000000000003</c:v>
                </c:pt>
                <c:pt idx="17">
                  <c:v>3.1419999999999995</c:v>
                </c:pt>
                <c:pt idx="18">
                  <c:v>8</c:v>
                </c:pt>
                <c:pt idx="19">
                  <c:v>-0.5</c:v>
                </c:pt>
                <c:pt idx="20">
                  <c:v>-3.5</c:v>
                </c:pt>
                <c:pt idx="21">
                  <c:v>14.933499999999999</c:v>
                </c:pt>
                <c:pt idx="22">
                  <c:v>6.4345000000000026</c:v>
                </c:pt>
                <c:pt idx="23">
                  <c:v>3.434499999999999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7-4709-9368-D8EAB3AB25C1}"/>
            </c:ext>
          </c:extLst>
        </c:ser>
        <c:ser>
          <c:idx val="2"/>
          <c:order val="2"/>
          <c:tx>
            <c:strRef>
              <c:f>Bitwarden!$U$74</c:f>
              <c:strCache>
                <c:ptCount val="1"/>
                <c:pt idx="0">
                  <c:v>12 caracteres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Bitwarden!$Q$75:$R$98</c:f>
              <c:multiLvlStrCache>
                <c:ptCount val="24"/>
                <c:lvl>
                  <c:pt idx="0">
                    <c:v>guesses_zxcvbn</c:v>
                  </c:pt>
                  <c:pt idx="1">
                    <c:v>tqe10_zxcvbn</c:v>
                  </c:pt>
                  <c:pt idx="2">
                    <c:v>tqe10k_zxcvbn</c:v>
                  </c:pt>
                  <c:pt idx="3">
                    <c:v>guesses_shannon</c:v>
                  </c:pt>
                  <c:pt idx="4">
                    <c:v>tqe10_shannon</c:v>
                  </c:pt>
                  <c:pt idx="5">
                    <c:v>tqe10k_shannon</c:v>
                  </c:pt>
                  <c:pt idx="6">
                    <c:v>guesses_zxcvbn</c:v>
                  </c:pt>
                  <c:pt idx="7">
                    <c:v>tqe10_zxcvbn</c:v>
                  </c:pt>
                  <c:pt idx="8">
                    <c:v>tqe10k_zxcvbn</c:v>
                  </c:pt>
                  <c:pt idx="9">
                    <c:v>guesses_shannon</c:v>
                  </c:pt>
                  <c:pt idx="10">
                    <c:v>tqe10_shannon</c:v>
                  </c:pt>
                  <c:pt idx="11">
                    <c:v>tqe10k_shannon</c:v>
                  </c:pt>
                  <c:pt idx="12">
                    <c:v>guesses_zxcvbn</c:v>
                  </c:pt>
                  <c:pt idx="13">
                    <c:v>tqe10_zxcvbn</c:v>
                  </c:pt>
                  <c:pt idx="14">
                    <c:v>tqe10k_zxcvbn</c:v>
                  </c:pt>
                  <c:pt idx="15">
                    <c:v>guesses_shannon</c:v>
                  </c:pt>
                  <c:pt idx="16">
                    <c:v>tqe10_shannon</c:v>
                  </c:pt>
                  <c:pt idx="17">
                    <c:v>tqe10k_shannon</c:v>
                  </c:pt>
                  <c:pt idx="18">
                    <c:v>guesses_zxcvbn</c:v>
                  </c:pt>
                  <c:pt idx="19">
                    <c:v>tqe10_zxcvbn</c:v>
                  </c:pt>
                  <c:pt idx="20">
                    <c:v>tqe10k_zxcvbn</c:v>
                  </c:pt>
                  <c:pt idx="21">
                    <c:v>guesses_shannon</c:v>
                  </c:pt>
                  <c:pt idx="22">
                    <c:v>tqe10_shannon</c:v>
                  </c:pt>
                  <c:pt idx="23">
                    <c:v>tqe10k_shannon</c:v>
                  </c:pt>
                </c:lvl>
                <c:lvl>
                  <c:pt idx="0">
                    <c:v>Classe 1</c:v>
                  </c:pt>
                  <c:pt idx="6">
                    <c:v>Classe 2</c:v>
                  </c:pt>
                  <c:pt idx="12">
                    <c:v>Classe 3</c:v>
                  </c:pt>
                  <c:pt idx="18">
                    <c:v>Classe 4</c:v>
                  </c:pt>
                </c:lvl>
              </c:multiLvlStrCache>
            </c:multiLvlStrRef>
          </c:cat>
          <c:val>
            <c:numRef>
              <c:f>Bitwarden!$U$75:$U$98</c:f>
              <c:numCache>
                <c:formatCode>0.00</c:formatCode>
                <c:ptCount val="24"/>
                <c:pt idx="0">
                  <c:v>11.8965</c:v>
                </c:pt>
                <c:pt idx="1">
                  <c:v>3.3965000000000005</c:v>
                </c:pt>
                <c:pt idx="2">
                  <c:v>0.39649999999999996</c:v>
                </c:pt>
                <c:pt idx="3">
                  <c:v>16.98</c:v>
                </c:pt>
                <c:pt idx="4">
                  <c:v>8.48</c:v>
                </c:pt>
                <c:pt idx="5">
                  <c:v>5.4800000000000022</c:v>
                </c:pt>
                <c:pt idx="6">
                  <c:v>11.9885</c:v>
                </c:pt>
                <c:pt idx="7">
                  <c:v>3.4885000000000006</c:v>
                </c:pt>
                <c:pt idx="8">
                  <c:v>0.48849999999999999</c:v>
                </c:pt>
                <c:pt idx="9">
                  <c:v>20.589999999999993</c:v>
                </c:pt>
                <c:pt idx="10">
                  <c:v>12.090000000000002</c:v>
                </c:pt>
                <c:pt idx="11">
                  <c:v>9.0900000000000016</c:v>
                </c:pt>
                <c:pt idx="12">
                  <c:v>11.927</c:v>
                </c:pt>
                <c:pt idx="13">
                  <c:v>3.4270000000000005</c:v>
                </c:pt>
                <c:pt idx="14">
                  <c:v>0.42699999999999994</c:v>
                </c:pt>
                <c:pt idx="15">
                  <c:v>21.957999999999995</c:v>
                </c:pt>
                <c:pt idx="16">
                  <c:v>13.457999999999998</c:v>
                </c:pt>
                <c:pt idx="17">
                  <c:v>10.457999999999998</c:v>
                </c:pt>
                <c:pt idx="18">
                  <c:v>12</c:v>
                </c:pt>
                <c:pt idx="19">
                  <c:v>3.5</c:v>
                </c:pt>
                <c:pt idx="20">
                  <c:v>0.5</c:v>
                </c:pt>
                <c:pt idx="21">
                  <c:v>22.74</c:v>
                </c:pt>
                <c:pt idx="22">
                  <c:v>14.239999999999998</c:v>
                </c:pt>
                <c:pt idx="23">
                  <c:v>11.24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E7-4709-9368-D8EAB3AB25C1}"/>
            </c:ext>
          </c:extLst>
        </c:ser>
        <c:ser>
          <c:idx val="4"/>
          <c:order val="4"/>
          <c:tx>
            <c:strRef>
              <c:f>Bitwarden!$W$74</c:f>
              <c:strCache>
                <c:ptCount val="1"/>
                <c:pt idx="0">
                  <c:v>16 caracteres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Bitwarden!$Q$75:$R$98</c:f>
              <c:multiLvlStrCache>
                <c:ptCount val="24"/>
                <c:lvl>
                  <c:pt idx="0">
                    <c:v>guesses_zxcvbn</c:v>
                  </c:pt>
                  <c:pt idx="1">
                    <c:v>tqe10_zxcvbn</c:v>
                  </c:pt>
                  <c:pt idx="2">
                    <c:v>tqe10k_zxcvbn</c:v>
                  </c:pt>
                  <c:pt idx="3">
                    <c:v>guesses_shannon</c:v>
                  </c:pt>
                  <c:pt idx="4">
                    <c:v>tqe10_shannon</c:v>
                  </c:pt>
                  <c:pt idx="5">
                    <c:v>tqe10k_shannon</c:v>
                  </c:pt>
                  <c:pt idx="6">
                    <c:v>guesses_zxcvbn</c:v>
                  </c:pt>
                  <c:pt idx="7">
                    <c:v>tqe10_zxcvbn</c:v>
                  </c:pt>
                  <c:pt idx="8">
                    <c:v>tqe10k_zxcvbn</c:v>
                  </c:pt>
                  <c:pt idx="9">
                    <c:v>guesses_shannon</c:v>
                  </c:pt>
                  <c:pt idx="10">
                    <c:v>tqe10_shannon</c:v>
                  </c:pt>
                  <c:pt idx="11">
                    <c:v>tqe10k_shannon</c:v>
                  </c:pt>
                  <c:pt idx="12">
                    <c:v>guesses_zxcvbn</c:v>
                  </c:pt>
                  <c:pt idx="13">
                    <c:v>tqe10_zxcvbn</c:v>
                  </c:pt>
                  <c:pt idx="14">
                    <c:v>tqe10k_zxcvbn</c:v>
                  </c:pt>
                  <c:pt idx="15">
                    <c:v>guesses_shannon</c:v>
                  </c:pt>
                  <c:pt idx="16">
                    <c:v>tqe10_shannon</c:v>
                  </c:pt>
                  <c:pt idx="17">
                    <c:v>tqe10k_shannon</c:v>
                  </c:pt>
                  <c:pt idx="18">
                    <c:v>guesses_zxcvbn</c:v>
                  </c:pt>
                  <c:pt idx="19">
                    <c:v>tqe10_zxcvbn</c:v>
                  </c:pt>
                  <c:pt idx="20">
                    <c:v>tqe10k_zxcvbn</c:v>
                  </c:pt>
                  <c:pt idx="21">
                    <c:v>guesses_shannon</c:v>
                  </c:pt>
                  <c:pt idx="22">
                    <c:v>tqe10_shannon</c:v>
                  </c:pt>
                  <c:pt idx="23">
                    <c:v>tqe10k_shannon</c:v>
                  </c:pt>
                </c:lvl>
                <c:lvl>
                  <c:pt idx="0">
                    <c:v>Classe 1</c:v>
                  </c:pt>
                  <c:pt idx="6">
                    <c:v>Classe 2</c:v>
                  </c:pt>
                  <c:pt idx="12">
                    <c:v>Classe 3</c:v>
                  </c:pt>
                  <c:pt idx="18">
                    <c:v>Classe 4</c:v>
                  </c:pt>
                </c:lvl>
              </c:multiLvlStrCache>
            </c:multiLvlStrRef>
          </c:cat>
          <c:val>
            <c:numRef>
              <c:f>Bitwarden!$W$75:$W$98</c:f>
              <c:numCache>
                <c:formatCode>0.00</c:formatCode>
                <c:ptCount val="24"/>
                <c:pt idx="0">
                  <c:v>15.882</c:v>
                </c:pt>
                <c:pt idx="1">
                  <c:v>7.3819999999999997</c:v>
                </c:pt>
                <c:pt idx="2">
                  <c:v>4.3819999999999997</c:v>
                </c:pt>
                <c:pt idx="3">
                  <c:v>22.639999999999993</c:v>
                </c:pt>
                <c:pt idx="4">
                  <c:v>14.139999999999995</c:v>
                </c:pt>
                <c:pt idx="5">
                  <c:v>11.139999999999995</c:v>
                </c:pt>
                <c:pt idx="6">
                  <c:v>15.974500000000001</c:v>
                </c:pt>
                <c:pt idx="7">
                  <c:v>7.4749999999999996</c:v>
                </c:pt>
                <c:pt idx="8">
                  <c:v>4.4749999999999996</c:v>
                </c:pt>
                <c:pt idx="9">
                  <c:v>27.459999999999997</c:v>
                </c:pt>
                <c:pt idx="10">
                  <c:v>18.959999999999997</c:v>
                </c:pt>
                <c:pt idx="11">
                  <c:v>15.960000000000003</c:v>
                </c:pt>
                <c:pt idx="12">
                  <c:v>15.975999999999999</c:v>
                </c:pt>
                <c:pt idx="13">
                  <c:v>7.4760000000000009</c:v>
                </c:pt>
                <c:pt idx="14">
                  <c:v>4.476</c:v>
                </c:pt>
                <c:pt idx="15">
                  <c:v>29.340999999999998</c:v>
                </c:pt>
                <c:pt idx="16">
                  <c:v>20.841000000000005</c:v>
                </c:pt>
                <c:pt idx="17">
                  <c:v>17.841000000000005</c:v>
                </c:pt>
                <c:pt idx="18">
                  <c:v>15.987</c:v>
                </c:pt>
                <c:pt idx="19">
                  <c:v>7.4870000000000001</c:v>
                </c:pt>
                <c:pt idx="20">
                  <c:v>4.4870000000000001</c:v>
                </c:pt>
                <c:pt idx="21">
                  <c:v>31.097500000000007</c:v>
                </c:pt>
                <c:pt idx="22">
                  <c:v>22.5975</c:v>
                </c:pt>
                <c:pt idx="23">
                  <c:v>19.597499999999997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E7-4709-9368-D8EAB3AB25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732946975"/>
        <c:axId val="17954561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Bitwarden!$T$74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Bitwarden!$Q$75:$R$98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guesses_zxcvbn</c:v>
                        </c:pt>
                        <c:pt idx="1">
                          <c:v>tqe10_zxcvbn</c:v>
                        </c:pt>
                        <c:pt idx="2">
                          <c:v>tqe10k_zxcvbn</c:v>
                        </c:pt>
                        <c:pt idx="3">
                          <c:v>guesses_shannon</c:v>
                        </c:pt>
                        <c:pt idx="4">
                          <c:v>tqe10_shannon</c:v>
                        </c:pt>
                        <c:pt idx="5">
                          <c:v>tqe10k_shannon</c:v>
                        </c:pt>
                        <c:pt idx="6">
                          <c:v>guesses_zxcvbn</c:v>
                        </c:pt>
                        <c:pt idx="7">
                          <c:v>tqe10_zxcvbn</c:v>
                        </c:pt>
                        <c:pt idx="8">
                          <c:v>tqe10k_zxcvbn</c:v>
                        </c:pt>
                        <c:pt idx="9">
                          <c:v>guesses_shannon</c:v>
                        </c:pt>
                        <c:pt idx="10">
                          <c:v>tqe10_shannon</c:v>
                        </c:pt>
                        <c:pt idx="11">
                          <c:v>tqe10k_shannon</c:v>
                        </c:pt>
                        <c:pt idx="12">
                          <c:v>guesses_zxcvbn</c:v>
                        </c:pt>
                        <c:pt idx="13">
                          <c:v>tqe10_zxcvbn</c:v>
                        </c:pt>
                        <c:pt idx="14">
                          <c:v>tqe10k_zxcvbn</c:v>
                        </c:pt>
                        <c:pt idx="15">
                          <c:v>guesses_shannon</c:v>
                        </c:pt>
                        <c:pt idx="16">
                          <c:v>tqe10_shannon</c:v>
                        </c:pt>
                        <c:pt idx="17">
                          <c:v>tqe10k_shannon</c:v>
                        </c:pt>
                        <c:pt idx="18">
                          <c:v>guesses_zxcvbn</c:v>
                        </c:pt>
                        <c:pt idx="19">
                          <c:v>tqe10_zxcvbn</c:v>
                        </c:pt>
                        <c:pt idx="20">
                          <c:v>tqe10k_zxcvbn</c:v>
                        </c:pt>
                        <c:pt idx="21">
                          <c:v>guesses_shannon</c:v>
                        </c:pt>
                        <c:pt idx="22">
                          <c:v>tqe10_shannon</c:v>
                        </c:pt>
                        <c:pt idx="23">
                          <c:v>tqe10k_shannon</c:v>
                        </c:pt>
                      </c:lvl>
                      <c:lvl>
                        <c:pt idx="0">
                          <c:v>Classe 1</c:v>
                        </c:pt>
                        <c:pt idx="6">
                          <c:v>Classe 2</c:v>
                        </c:pt>
                        <c:pt idx="12">
                          <c:v>Classe 3</c:v>
                        </c:pt>
                        <c:pt idx="18">
                          <c:v>Classe 4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Bitwarden!$T$75:$T$98</c15:sqref>
                        </c15:formulaRef>
                      </c:ext>
                    </c:extLst>
                    <c:numCache>
                      <c:formatCode>0.00</c:formatCode>
                      <c:ptCount val="2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E8E7-4709-9368-D8EAB3AB25C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Bitwarden!$V$74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Bitwarden!$Q$75:$R$98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guesses_zxcvbn</c:v>
                        </c:pt>
                        <c:pt idx="1">
                          <c:v>tqe10_zxcvbn</c:v>
                        </c:pt>
                        <c:pt idx="2">
                          <c:v>tqe10k_zxcvbn</c:v>
                        </c:pt>
                        <c:pt idx="3">
                          <c:v>guesses_shannon</c:v>
                        </c:pt>
                        <c:pt idx="4">
                          <c:v>tqe10_shannon</c:v>
                        </c:pt>
                        <c:pt idx="5">
                          <c:v>tqe10k_shannon</c:v>
                        </c:pt>
                        <c:pt idx="6">
                          <c:v>guesses_zxcvbn</c:v>
                        </c:pt>
                        <c:pt idx="7">
                          <c:v>tqe10_zxcvbn</c:v>
                        </c:pt>
                        <c:pt idx="8">
                          <c:v>tqe10k_zxcvbn</c:v>
                        </c:pt>
                        <c:pt idx="9">
                          <c:v>guesses_shannon</c:v>
                        </c:pt>
                        <c:pt idx="10">
                          <c:v>tqe10_shannon</c:v>
                        </c:pt>
                        <c:pt idx="11">
                          <c:v>tqe10k_shannon</c:v>
                        </c:pt>
                        <c:pt idx="12">
                          <c:v>guesses_zxcvbn</c:v>
                        </c:pt>
                        <c:pt idx="13">
                          <c:v>tqe10_zxcvbn</c:v>
                        </c:pt>
                        <c:pt idx="14">
                          <c:v>tqe10k_zxcvbn</c:v>
                        </c:pt>
                        <c:pt idx="15">
                          <c:v>guesses_shannon</c:v>
                        </c:pt>
                        <c:pt idx="16">
                          <c:v>tqe10_shannon</c:v>
                        </c:pt>
                        <c:pt idx="17">
                          <c:v>tqe10k_shannon</c:v>
                        </c:pt>
                        <c:pt idx="18">
                          <c:v>guesses_zxcvbn</c:v>
                        </c:pt>
                        <c:pt idx="19">
                          <c:v>tqe10_zxcvbn</c:v>
                        </c:pt>
                        <c:pt idx="20">
                          <c:v>tqe10k_zxcvbn</c:v>
                        </c:pt>
                        <c:pt idx="21">
                          <c:v>guesses_shannon</c:v>
                        </c:pt>
                        <c:pt idx="22">
                          <c:v>tqe10_shannon</c:v>
                        </c:pt>
                        <c:pt idx="23">
                          <c:v>tqe10k_shannon</c:v>
                        </c:pt>
                      </c:lvl>
                      <c:lvl>
                        <c:pt idx="0">
                          <c:v>Classe 1</c:v>
                        </c:pt>
                        <c:pt idx="6">
                          <c:v>Classe 2</c:v>
                        </c:pt>
                        <c:pt idx="12">
                          <c:v>Classe 3</c:v>
                        </c:pt>
                        <c:pt idx="18">
                          <c:v>Classe 4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Bitwarden!$V$75:$V$98</c15:sqref>
                        </c15:formulaRef>
                      </c:ext>
                    </c:extLst>
                    <c:numCache>
                      <c:formatCode>0.00</c:formatCode>
                      <c:ptCount val="2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8E7-4709-9368-D8EAB3AB25C1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Bitwarden!$X$74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00B05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Bitwarden!$Q$75:$R$98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guesses_zxcvbn</c:v>
                        </c:pt>
                        <c:pt idx="1">
                          <c:v>tqe10_zxcvbn</c:v>
                        </c:pt>
                        <c:pt idx="2">
                          <c:v>tqe10k_zxcvbn</c:v>
                        </c:pt>
                        <c:pt idx="3">
                          <c:v>guesses_shannon</c:v>
                        </c:pt>
                        <c:pt idx="4">
                          <c:v>tqe10_shannon</c:v>
                        </c:pt>
                        <c:pt idx="5">
                          <c:v>tqe10k_shannon</c:v>
                        </c:pt>
                        <c:pt idx="6">
                          <c:v>guesses_zxcvbn</c:v>
                        </c:pt>
                        <c:pt idx="7">
                          <c:v>tqe10_zxcvbn</c:v>
                        </c:pt>
                        <c:pt idx="8">
                          <c:v>tqe10k_zxcvbn</c:v>
                        </c:pt>
                        <c:pt idx="9">
                          <c:v>guesses_shannon</c:v>
                        </c:pt>
                        <c:pt idx="10">
                          <c:v>tqe10_shannon</c:v>
                        </c:pt>
                        <c:pt idx="11">
                          <c:v>tqe10k_shannon</c:v>
                        </c:pt>
                        <c:pt idx="12">
                          <c:v>guesses_zxcvbn</c:v>
                        </c:pt>
                        <c:pt idx="13">
                          <c:v>tqe10_zxcvbn</c:v>
                        </c:pt>
                        <c:pt idx="14">
                          <c:v>tqe10k_zxcvbn</c:v>
                        </c:pt>
                        <c:pt idx="15">
                          <c:v>guesses_shannon</c:v>
                        </c:pt>
                        <c:pt idx="16">
                          <c:v>tqe10_shannon</c:v>
                        </c:pt>
                        <c:pt idx="17">
                          <c:v>tqe10k_shannon</c:v>
                        </c:pt>
                        <c:pt idx="18">
                          <c:v>guesses_zxcvbn</c:v>
                        </c:pt>
                        <c:pt idx="19">
                          <c:v>tqe10_zxcvbn</c:v>
                        </c:pt>
                        <c:pt idx="20">
                          <c:v>tqe10k_zxcvbn</c:v>
                        </c:pt>
                        <c:pt idx="21">
                          <c:v>guesses_shannon</c:v>
                        </c:pt>
                        <c:pt idx="22">
                          <c:v>tqe10_shannon</c:v>
                        </c:pt>
                        <c:pt idx="23">
                          <c:v>tqe10k_shannon</c:v>
                        </c:pt>
                      </c:lvl>
                      <c:lvl>
                        <c:pt idx="0">
                          <c:v>Classe 1</c:v>
                        </c:pt>
                        <c:pt idx="6">
                          <c:v>Classe 2</c:v>
                        </c:pt>
                        <c:pt idx="12">
                          <c:v>Classe 3</c:v>
                        </c:pt>
                        <c:pt idx="18">
                          <c:v>Classe 4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Bitwarden!$X$75:$X$98</c15:sqref>
                        </c15:formulaRef>
                      </c:ext>
                    </c:extLst>
                    <c:numCache>
                      <c:formatCode>0.00</c:formatCode>
                      <c:ptCount val="2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8E7-4709-9368-D8EAB3AB25C1}"/>
                  </c:ext>
                </c:extLst>
              </c15:ser>
            </c15:filteredBarSeries>
          </c:ext>
        </c:extLst>
      </c:barChart>
      <c:catAx>
        <c:axId val="7329469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545615"/>
        <c:crossesAt val="-5"/>
        <c:auto val="1"/>
        <c:lblAlgn val="ctr"/>
        <c:lblOffset val="100"/>
        <c:noMultiLvlLbl val="0"/>
      </c:catAx>
      <c:valAx>
        <c:axId val="179545615"/>
        <c:scaling>
          <c:orientation val="minMax"/>
          <c:min val="-5"/>
        </c:scaling>
        <c:delete val="0"/>
        <c:axPos val="t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294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Bitwarden!$R$101</c:f>
              <c:strCache>
                <c:ptCount val="1"/>
                <c:pt idx="0">
                  <c:v>Classe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Bitwarden!$S$100:$X$100</c15:sqref>
                  </c15:fullRef>
                </c:ext>
              </c:extLst>
              <c:f>(Bitwarden!$S$100,Bitwarden!$U$100,Bitwarden!$W$100)</c:f>
              <c:strCache>
                <c:ptCount val="3"/>
                <c:pt idx="0">
                  <c:v>8 caracteres</c:v>
                </c:pt>
                <c:pt idx="1">
                  <c:v>12 caracteres</c:v>
                </c:pt>
                <c:pt idx="2">
                  <c:v>16 caracteres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Bitwarden!$S$101:$X$101</c15:sqref>
                  </c15:fullRef>
                </c:ext>
              </c:extLst>
              <c:f>(Bitwarden!$S$101,Bitwarden!$U$101,Bitwarden!$W$101)</c:f>
              <c:numCache>
                <c:formatCode>0.00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4-4682-A097-9EC112DC47E0}"/>
            </c:ext>
          </c:extLst>
        </c:ser>
        <c:ser>
          <c:idx val="1"/>
          <c:order val="1"/>
          <c:tx>
            <c:strRef>
              <c:f>Bitwarden!$R$102</c:f>
              <c:strCache>
                <c:ptCount val="1"/>
                <c:pt idx="0">
                  <c:v>Classe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Bitwarden!$S$100:$X$100</c15:sqref>
                  </c15:fullRef>
                </c:ext>
              </c:extLst>
              <c:f>(Bitwarden!$S$100,Bitwarden!$U$100,Bitwarden!$W$100)</c:f>
              <c:strCache>
                <c:ptCount val="3"/>
                <c:pt idx="0">
                  <c:v>8 caracteres</c:v>
                </c:pt>
                <c:pt idx="1">
                  <c:v>12 caracteres</c:v>
                </c:pt>
                <c:pt idx="2">
                  <c:v>16 caracteres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Bitwarden!$S$102:$X$102</c15:sqref>
                  </c15:fullRef>
                </c:ext>
              </c:extLst>
              <c:f>(Bitwarden!$S$102,Bitwarden!$U$102,Bitwarden!$W$102)</c:f>
              <c:numCache>
                <c:formatCode>0.00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14-4682-A097-9EC112DC47E0}"/>
            </c:ext>
          </c:extLst>
        </c:ser>
        <c:ser>
          <c:idx val="2"/>
          <c:order val="2"/>
          <c:tx>
            <c:strRef>
              <c:f>Bitwarden!$R$103</c:f>
              <c:strCache>
                <c:ptCount val="1"/>
                <c:pt idx="0">
                  <c:v>Classe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Bitwarden!$S$100:$X$100</c15:sqref>
                  </c15:fullRef>
                </c:ext>
              </c:extLst>
              <c:f>(Bitwarden!$S$100,Bitwarden!$U$100,Bitwarden!$W$100)</c:f>
              <c:strCache>
                <c:ptCount val="3"/>
                <c:pt idx="0">
                  <c:v>8 caracteres</c:v>
                </c:pt>
                <c:pt idx="1">
                  <c:v>12 caracteres</c:v>
                </c:pt>
                <c:pt idx="2">
                  <c:v>16 caracteres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Bitwarden!$S$103:$X$103</c15:sqref>
                  </c15:fullRef>
                </c:ext>
              </c:extLst>
              <c:f>(Bitwarden!$S$103,Bitwarden!$U$103,Bitwarden!$W$103)</c:f>
              <c:numCache>
                <c:formatCode>0.00</c:formatCode>
                <c:ptCount val="3"/>
                <c:pt idx="0">
                  <c:v>0.95</c:v>
                </c:pt>
                <c:pt idx="1">
                  <c:v>0.75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14-4682-A097-9EC112DC47E0}"/>
            </c:ext>
          </c:extLst>
        </c:ser>
        <c:ser>
          <c:idx val="3"/>
          <c:order val="3"/>
          <c:tx>
            <c:strRef>
              <c:f>Bitwarden!$R$104</c:f>
              <c:strCache>
                <c:ptCount val="1"/>
                <c:pt idx="0">
                  <c:v>Classe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Bitwarden!$S$100:$X$100</c15:sqref>
                  </c15:fullRef>
                </c:ext>
              </c:extLst>
              <c:f>(Bitwarden!$S$100,Bitwarden!$U$100,Bitwarden!$W$100)</c:f>
              <c:strCache>
                <c:ptCount val="3"/>
                <c:pt idx="0">
                  <c:v>8 caracteres</c:v>
                </c:pt>
                <c:pt idx="1">
                  <c:v>12 caracteres</c:v>
                </c:pt>
                <c:pt idx="2">
                  <c:v>16 caracteres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Bitwarden!$S$104:$X$104</c15:sqref>
                  </c15:fullRef>
                </c:ext>
              </c:extLst>
              <c:f>(Bitwarden!$S$104,Bitwarden!$U$104,Bitwarden!$W$104)</c:f>
              <c:numCache>
                <c:formatCode>0.00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14-4682-A097-9EC112DC4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3813168"/>
        <c:axId val="1894401136"/>
      </c:barChart>
      <c:catAx>
        <c:axId val="179381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4401136"/>
        <c:crosses val="autoZero"/>
        <c:auto val="1"/>
        <c:lblAlgn val="ctr"/>
        <c:lblOffset val="100"/>
        <c:noMultiLvlLbl val="0"/>
      </c:catAx>
      <c:valAx>
        <c:axId val="189440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381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Kaspersky!$S$69</c:f>
              <c:strCache>
                <c:ptCount val="1"/>
                <c:pt idx="0">
                  <c:v>8 caracteres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Kaspersky!$Q$70:$R$93</c:f>
              <c:multiLvlStrCache>
                <c:ptCount val="24"/>
                <c:lvl>
                  <c:pt idx="0">
                    <c:v>guesses_zxcvbn</c:v>
                  </c:pt>
                  <c:pt idx="1">
                    <c:v>tqe10_zxcvbn</c:v>
                  </c:pt>
                  <c:pt idx="2">
                    <c:v>tqe10k_zxcvbn</c:v>
                  </c:pt>
                  <c:pt idx="3">
                    <c:v>guesses_shannon</c:v>
                  </c:pt>
                  <c:pt idx="4">
                    <c:v>tqe10_shannon</c:v>
                  </c:pt>
                  <c:pt idx="5">
                    <c:v>tqe10k_shannon</c:v>
                  </c:pt>
                  <c:pt idx="6">
                    <c:v>guesses_zxcvbn</c:v>
                  </c:pt>
                  <c:pt idx="7">
                    <c:v>tqe10_zxcvbn</c:v>
                  </c:pt>
                  <c:pt idx="8">
                    <c:v>tqe10k_zxcvbn</c:v>
                  </c:pt>
                  <c:pt idx="9">
                    <c:v>guesses_shannon</c:v>
                  </c:pt>
                  <c:pt idx="10">
                    <c:v>tqe10_shannon</c:v>
                  </c:pt>
                  <c:pt idx="11">
                    <c:v>tqe10k_shannon</c:v>
                  </c:pt>
                  <c:pt idx="12">
                    <c:v>guesses_zxcvbn</c:v>
                  </c:pt>
                  <c:pt idx="13">
                    <c:v>tqe10_zxcvbn</c:v>
                  </c:pt>
                  <c:pt idx="14">
                    <c:v>tqe10k_zxcvbn</c:v>
                  </c:pt>
                  <c:pt idx="15">
                    <c:v>guesses_shannon</c:v>
                  </c:pt>
                  <c:pt idx="16">
                    <c:v>tqe10_shannon</c:v>
                  </c:pt>
                  <c:pt idx="17">
                    <c:v>tqe10k_shannon</c:v>
                  </c:pt>
                  <c:pt idx="18">
                    <c:v>guesses_zxcvbn</c:v>
                  </c:pt>
                  <c:pt idx="19">
                    <c:v>tqe10_zxcvbn</c:v>
                  </c:pt>
                  <c:pt idx="20">
                    <c:v>tqe10k_zxcvbn</c:v>
                  </c:pt>
                  <c:pt idx="21">
                    <c:v>guesses_shannon</c:v>
                  </c:pt>
                  <c:pt idx="22">
                    <c:v>tqe10_shannon</c:v>
                  </c:pt>
                  <c:pt idx="23">
                    <c:v>tqe10k_shannon</c:v>
                  </c:pt>
                </c:lvl>
                <c:lvl>
                  <c:pt idx="0">
                    <c:v>Classe 1</c:v>
                  </c:pt>
                  <c:pt idx="6">
                    <c:v>Classe 2</c:v>
                  </c:pt>
                  <c:pt idx="12">
                    <c:v>Classe 3</c:v>
                  </c:pt>
                  <c:pt idx="18">
                    <c:v>Classe 4</c:v>
                  </c:pt>
                </c:lvl>
              </c:multiLvlStrCache>
            </c:multiLvlStrRef>
          </c:cat>
          <c:val>
            <c:numRef>
              <c:f>Kaspersky!$S$70:$S$93</c:f>
              <c:numCache>
                <c:formatCode>0.00</c:formatCode>
                <c:ptCount val="24"/>
                <c:pt idx="0">
                  <c:v>7.9349999999999996</c:v>
                </c:pt>
                <c:pt idx="1">
                  <c:v>-0.56500000000000006</c:v>
                </c:pt>
                <c:pt idx="2">
                  <c:v>-3.5649999999999999</c:v>
                </c:pt>
                <c:pt idx="3">
                  <c:v>11.319999999999997</c:v>
                </c:pt>
                <c:pt idx="4">
                  <c:v>2.82</c:v>
                </c:pt>
                <c:pt idx="5">
                  <c:v>-0.18000000000000005</c:v>
                </c:pt>
                <c:pt idx="6">
                  <c:v>8</c:v>
                </c:pt>
                <c:pt idx="7">
                  <c:v>-0.5</c:v>
                </c:pt>
                <c:pt idx="8">
                  <c:v>-3.5</c:v>
                </c:pt>
                <c:pt idx="9">
                  <c:v>13.609499999999997</c:v>
                </c:pt>
                <c:pt idx="10">
                  <c:v>5.1095000000000024</c:v>
                </c:pt>
                <c:pt idx="11">
                  <c:v>2.1094999999999997</c:v>
                </c:pt>
                <c:pt idx="12">
                  <c:v>7.9305000000000003</c:v>
                </c:pt>
                <c:pt idx="13">
                  <c:v>-0.56950000000000001</c:v>
                </c:pt>
                <c:pt idx="14">
                  <c:v>-3.5695000000000001</c:v>
                </c:pt>
                <c:pt idx="15">
                  <c:v>14.74</c:v>
                </c:pt>
                <c:pt idx="16">
                  <c:v>6.2445000000000013</c:v>
                </c:pt>
                <c:pt idx="17">
                  <c:v>3.2445000000000008</c:v>
                </c:pt>
                <c:pt idx="18">
                  <c:v>7.85</c:v>
                </c:pt>
                <c:pt idx="19">
                  <c:v>-0.65</c:v>
                </c:pt>
                <c:pt idx="20">
                  <c:v>-3.65</c:v>
                </c:pt>
                <c:pt idx="21">
                  <c:v>15.1835</c:v>
                </c:pt>
                <c:pt idx="22">
                  <c:v>6.6880000000000024</c:v>
                </c:pt>
                <c:pt idx="23">
                  <c:v>3.6880000000000011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0-4C8C-AC85-2E646E0BEC9B}"/>
            </c:ext>
          </c:extLst>
        </c:ser>
        <c:ser>
          <c:idx val="2"/>
          <c:order val="2"/>
          <c:tx>
            <c:strRef>
              <c:f>Kaspersky!$U$69</c:f>
              <c:strCache>
                <c:ptCount val="1"/>
                <c:pt idx="0">
                  <c:v>12 caracteres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Kaspersky!$Q$70:$R$93</c:f>
              <c:multiLvlStrCache>
                <c:ptCount val="24"/>
                <c:lvl>
                  <c:pt idx="0">
                    <c:v>guesses_zxcvbn</c:v>
                  </c:pt>
                  <c:pt idx="1">
                    <c:v>tqe10_zxcvbn</c:v>
                  </c:pt>
                  <c:pt idx="2">
                    <c:v>tqe10k_zxcvbn</c:v>
                  </c:pt>
                  <c:pt idx="3">
                    <c:v>guesses_shannon</c:v>
                  </c:pt>
                  <c:pt idx="4">
                    <c:v>tqe10_shannon</c:v>
                  </c:pt>
                  <c:pt idx="5">
                    <c:v>tqe10k_shannon</c:v>
                  </c:pt>
                  <c:pt idx="6">
                    <c:v>guesses_zxcvbn</c:v>
                  </c:pt>
                  <c:pt idx="7">
                    <c:v>tqe10_zxcvbn</c:v>
                  </c:pt>
                  <c:pt idx="8">
                    <c:v>tqe10k_zxcvbn</c:v>
                  </c:pt>
                  <c:pt idx="9">
                    <c:v>guesses_shannon</c:v>
                  </c:pt>
                  <c:pt idx="10">
                    <c:v>tqe10_shannon</c:v>
                  </c:pt>
                  <c:pt idx="11">
                    <c:v>tqe10k_shannon</c:v>
                  </c:pt>
                  <c:pt idx="12">
                    <c:v>guesses_zxcvbn</c:v>
                  </c:pt>
                  <c:pt idx="13">
                    <c:v>tqe10_zxcvbn</c:v>
                  </c:pt>
                  <c:pt idx="14">
                    <c:v>tqe10k_zxcvbn</c:v>
                  </c:pt>
                  <c:pt idx="15">
                    <c:v>guesses_shannon</c:v>
                  </c:pt>
                  <c:pt idx="16">
                    <c:v>tqe10_shannon</c:v>
                  </c:pt>
                  <c:pt idx="17">
                    <c:v>tqe10k_shannon</c:v>
                  </c:pt>
                  <c:pt idx="18">
                    <c:v>guesses_zxcvbn</c:v>
                  </c:pt>
                  <c:pt idx="19">
                    <c:v>tqe10_zxcvbn</c:v>
                  </c:pt>
                  <c:pt idx="20">
                    <c:v>tqe10k_zxcvbn</c:v>
                  </c:pt>
                  <c:pt idx="21">
                    <c:v>guesses_shannon</c:v>
                  </c:pt>
                  <c:pt idx="22">
                    <c:v>tqe10_shannon</c:v>
                  </c:pt>
                  <c:pt idx="23">
                    <c:v>tqe10k_shannon</c:v>
                  </c:pt>
                </c:lvl>
                <c:lvl>
                  <c:pt idx="0">
                    <c:v>Classe 1</c:v>
                  </c:pt>
                  <c:pt idx="6">
                    <c:v>Classe 2</c:v>
                  </c:pt>
                  <c:pt idx="12">
                    <c:v>Classe 3</c:v>
                  </c:pt>
                  <c:pt idx="18">
                    <c:v>Classe 4</c:v>
                  </c:pt>
                </c:lvl>
              </c:multiLvlStrCache>
            </c:multiLvlStrRef>
          </c:cat>
          <c:val>
            <c:numRef>
              <c:f>Kaspersky!$U$70:$U$93</c:f>
              <c:numCache>
                <c:formatCode>0.00</c:formatCode>
                <c:ptCount val="24"/>
                <c:pt idx="0">
                  <c:v>11.897</c:v>
                </c:pt>
                <c:pt idx="1">
                  <c:v>3.3969999999999998</c:v>
                </c:pt>
                <c:pt idx="2">
                  <c:v>0.39699999999999996</c:v>
                </c:pt>
                <c:pt idx="3">
                  <c:v>16.98</c:v>
                </c:pt>
                <c:pt idx="4">
                  <c:v>8.48</c:v>
                </c:pt>
                <c:pt idx="5">
                  <c:v>5.4800000000000022</c:v>
                </c:pt>
                <c:pt idx="6">
                  <c:v>11.9085</c:v>
                </c:pt>
                <c:pt idx="7">
                  <c:v>3.4089999999999998</c:v>
                </c:pt>
                <c:pt idx="8">
                  <c:v>0.40899999999999997</c:v>
                </c:pt>
                <c:pt idx="9">
                  <c:v>20.589999999999993</c:v>
                </c:pt>
                <c:pt idx="10">
                  <c:v>12.090000000000002</c:v>
                </c:pt>
                <c:pt idx="11">
                  <c:v>9.0900000000000016</c:v>
                </c:pt>
                <c:pt idx="12">
                  <c:v>11.935499999999999</c:v>
                </c:pt>
                <c:pt idx="13">
                  <c:v>3.4359999999999999</c:v>
                </c:pt>
                <c:pt idx="14">
                  <c:v>0.43600000000000005</c:v>
                </c:pt>
                <c:pt idx="15">
                  <c:v>22.253999999999998</c:v>
                </c:pt>
                <c:pt idx="16">
                  <c:v>13.753999999999996</c:v>
                </c:pt>
                <c:pt idx="17">
                  <c:v>10.753999999999998</c:v>
                </c:pt>
                <c:pt idx="18">
                  <c:v>12</c:v>
                </c:pt>
                <c:pt idx="19">
                  <c:v>3.5</c:v>
                </c:pt>
                <c:pt idx="20">
                  <c:v>0.5</c:v>
                </c:pt>
                <c:pt idx="21">
                  <c:v>23.335499999999996</c:v>
                </c:pt>
                <c:pt idx="22">
                  <c:v>14.835500000000001</c:v>
                </c:pt>
                <c:pt idx="23">
                  <c:v>11.835500000000003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B0-4C8C-AC85-2E646E0BEC9B}"/>
            </c:ext>
          </c:extLst>
        </c:ser>
        <c:ser>
          <c:idx val="4"/>
          <c:order val="4"/>
          <c:tx>
            <c:strRef>
              <c:f>Kaspersky!$W$69</c:f>
              <c:strCache>
                <c:ptCount val="1"/>
                <c:pt idx="0">
                  <c:v>16 caracteres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Kaspersky!$Q$70:$R$93</c:f>
              <c:multiLvlStrCache>
                <c:ptCount val="24"/>
                <c:lvl>
                  <c:pt idx="0">
                    <c:v>guesses_zxcvbn</c:v>
                  </c:pt>
                  <c:pt idx="1">
                    <c:v>tqe10_zxcvbn</c:v>
                  </c:pt>
                  <c:pt idx="2">
                    <c:v>tqe10k_zxcvbn</c:v>
                  </c:pt>
                  <c:pt idx="3">
                    <c:v>guesses_shannon</c:v>
                  </c:pt>
                  <c:pt idx="4">
                    <c:v>tqe10_shannon</c:v>
                  </c:pt>
                  <c:pt idx="5">
                    <c:v>tqe10k_shannon</c:v>
                  </c:pt>
                  <c:pt idx="6">
                    <c:v>guesses_zxcvbn</c:v>
                  </c:pt>
                  <c:pt idx="7">
                    <c:v>tqe10_zxcvbn</c:v>
                  </c:pt>
                  <c:pt idx="8">
                    <c:v>tqe10k_zxcvbn</c:v>
                  </c:pt>
                  <c:pt idx="9">
                    <c:v>guesses_shannon</c:v>
                  </c:pt>
                  <c:pt idx="10">
                    <c:v>tqe10_shannon</c:v>
                  </c:pt>
                  <c:pt idx="11">
                    <c:v>tqe10k_shannon</c:v>
                  </c:pt>
                  <c:pt idx="12">
                    <c:v>guesses_zxcvbn</c:v>
                  </c:pt>
                  <c:pt idx="13">
                    <c:v>tqe10_zxcvbn</c:v>
                  </c:pt>
                  <c:pt idx="14">
                    <c:v>tqe10k_zxcvbn</c:v>
                  </c:pt>
                  <c:pt idx="15">
                    <c:v>guesses_shannon</c:v>
                  </c:pt>
                  <c:pt idx="16">
                    <c:v>tqe10_shannon</c:v>
                  </c:pt>
                  <c:pt idx="17">
                    <c:v>tqe10k_shannon</c:v>
                  </c:pt>
                  <c:pt idx="18">
                    <c:v>guesses_zxcvbn</c:v>
                  </c:pt>
                  <c:pt idx="19">
                    <c:v>tqe10_zxcvbn</c:v>
                  </c:pt>
                  <c:pt idx="20">
                    <c:v>tqe10k_zxcvbn</c:v>
                  </c:pt>
                  <c:pt idx="21">
                    <c:v>guesses_shannon</c:v>
                  </c:pt>
                  <c:pt idx="22">
                    <c:v>tqe10_shannon</c:v>
                  </c:pt>
                  <c:pt idx="23">
                    <c:v>tqe10k_shannon</c:v>
                  </c:pt>
                </c:lvl>
                <c:lvl>
                  <c:pt idx="0">
                    <c:v>Classe 1</c:v>
                  </c:pt>
                  <c:pt idx="6">
                    <c:v>Classe 2</c:v>
                  </c:pt>
                  <c:pt idx="12">
                    <c:v>Classe 3</c:v>
                  </c:pt>
                  <c:pt idx="18">
                    <c:v>Classe 4</c:v>
                  </c:pt>
                </c:lvl>
              </c:multiLvlStrCache>
            </c:multiLvlStrRef>
          </c:cat>
          <c:val>
            <c:numRef>
              <c:f>Kaspersky!$W$70:$W$93</c:f>
              <c:numCache>
                <c:formatCode>0.00</c:formatCode>
                <c:ptCount val="24"/>
                <c:pt idx="0">
                  <c:v>15.9335</c:v>
                </c:pt>
                <c:pt idx="1">
                  <c:v>7.4339999999999993</c:v>
                </c:pt>
                <c:pt idx="2">
                  <c:v>4.4340000000000002</c:v>
                </c:pt>
                <c:pt idx="3">
                  <c:v>22.639999999999993</c:v>
                </c:pt>
                <c:pt idx="4">
                  <c:v>14.139999999999995</c:v>
                </c:pt>
                <c:pt idx="5">
                  <c:v>11.139999999999995</c:v>
                </c:pt>
                <c:pt idx="6">
                  <c:v>15.9505</c:v>
                </c:pt>
                <c:pt idx="7">
                  <c:v>7.4504999999999999</c:v>
                </c:pt>
                <c:pt idx="8">
                  <c:v>4.4504999999999999</c:v>
                </c:pt>
                <c:pt idx="9">
                  <c:v>27.459999999999997</c:v>
                </c:pt>
                <c:pt idx="10">
                  <c:v>18.959999999999997</c:v>
                </c:pt>
                <c:pt idx="11">
                  <c:v>15.960000000000003</c:v>
                </c:pt>
                <c:pt idx="12">
                  <c:v>15.992500000000001</c:v>
                </c:pt>
                <c:pt idx="13">
                  <c:v>7.4924999999999997</c:v>
                </c:pt>
                <c:pt idx="14">
                  <c:v>4.4924999999999997</c:v>
                </c:pt>
                <c:pt idx="15">
                  <c:v>29.674000000000007</c:v>
                </c:pt>
                <c:pt idx="16">
                  <c:v>21.17400000000001</c:v>
                </c:pt>
                <c:pt idx="17">
                  <c:v>18.174000000000007</c:v>
                </c:pt>
                <c:pt idx="18">
                  <c:v>15.994999999999999</c:v>
                </c:pt>
                <c:pt idx="19">
                  <c:v>7.4954999999999998</c:v>
                </c:pt>
                <c:pt idx="20">
                  <c:v>4.4954999999999998</c:v>
                </c:pt>
                <c:pt idx="21">
                  <c:v>31.375000000000007</c:v>
                </c:pt>
                <c:pt idx="22">
                  <c:v>22.875</c:v>
                </c:pt>
                <c:pt idx="23">
                  <c:v>19.875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B0-4C8C-AC85-2E646E0BEC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732946975"/>
        <c:axId val="17954561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Kaspersky!$T$69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Kaspersky!$Q$70:$R$93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guesses_zxcvbn</c:v>
                        </c:pt>
                        <c:pt idx="1">
                          <c:v>tqe10_zxcvbn</c:v>
                        </c:pt>
                        <c:pt idx="2">
                          <c:v>tqe10k_zxcvbn</c:v>
                        </c:pt>
                        <c:pt idx="3">
                          <c:v>guesses_shannon</c:v>
                        </c:pt>
                        <c:pt idx="4">
                          <c:v>tqe10_shannon</c:v>
                        </c:pt>
                        <c:pt idx="5">
                          <c:v>tqe10k_shannon</c:v>
                        </c:pt>
                        <c:pt idx="6">
                          <c:v>guesses_zxcvbn</c:v>
                        </c:pt>
                        <c:pt idx="7">
                          <c:v>tqe10_zxcvbn</c:v>
                        </c:pt>
                        <c:pt idx="8">
                          <c:v>tqe10k_zxcvbn</c:v>
                        </c:pt>
                        <c:pt idx="9">
                          <c:v>guesses_shannon</c:v>
                        </c:pt>
                        <c:pt idx="10">
                          <c:v>tqe10_shannon</c:v>
                        </c:pt>
                        <c:pt idx="11">
                          <c:v>tqe10k_shannon</c:v>
                        </c:pt>
                        <c:pt idx="12">
                          <c:v>guesses_zxcvbn</c:v>
                        </c:pt>
                        <c:pt idx="13">
                          <c:v>tqe10_zxcvbn</c:v>
                        </c:pt>
                        <c:pt idx="14">
                          <c:v>tqe10k_zxcvbn</c:v>
                        </c:pt>
                        <c:pt idx="15">
                          <c:v>guesses_shannon</c:v>
                        </c:pt>
                        <c:pt idx="16">
                          <c:v>tqe10_shannon</c:v>
                        </c:pt>
                        <c:pt idx="17">
                          <c:v>tqe10k_shannon</c:v>
                        </c:pt>
                        <c:pt idx="18">
                          <c:v>guesses_zxcvbn</c:v>
                        </c:pt>
                        <c:pt idx="19">
                          <c:v>tqe10_zxcvbn</c:v>
                        </c:pt>
                        <c:pt idx="20">
                          <c:v>tqe10k_zxcvbn</c:v>
                        </c:pt>
                        <c:pt idx="21">
                          <c:v>guesses_shannon</c:v>
                        </c:pt>
                        <c:pt idx="22">
                          <c:v>tqe10_shannon</c:v>
                        </c:pt>
                        <c:pt idx="23">
                          <c:v>tqe10k_shannon</c:v>
                        </c:pt>
                      </c:lvl>
                      <c:lvl>
                        <c:pt idx="0">
                          <c:v>Classe 1</c:v>
                        </c:pt>
                        <c:pt idx="6">
                          <c:v>Classe 2</c:v>
                        </c:pt>
                        <c:pt idx="12">
                          <c:v>Classe 3</c:v>
                        </c:pt>
                        <c:pt idx="18">
                          <c:v>Classe 4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Kaspersky!$T$70:$T$93</c15:sqref>
                        </c15:formulaRef>
                      </c:ext>
                    </c:extLst>
                    <c:numCache>
                      <c:formatCode>0.00</c:formatCode>
                      <c:ptCount val="2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6B0-4C8C-AC85-2E646E0BEC9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Kaspersky!$V$69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Kaspersky!$Q$70:$R$93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guesses_zxcvbn</c:v>
                        </c:pt>
                        <c:pt idx="1">
                          <c:v>tqe10_zxcvbn</c:v>
                        </c:pt>
                        <c:pt idx="2">
                          <c:v>tqe10k_zxcvbn</c:v>
                        </c:pt>
                        <c:pt idx="3">
                          <c:v>guesses_shannon</c:v>
                        </c:pt>
                        <c:pt idx="4">
                          <c:v>tqe10_shannon</c:v>
                        </c:pt>
                        <c:pt idx="5">
                          <c:v>tqe10k_shannon</c:v>
                        </c:pt>
                        <c:pt idx="6">
                          <c:v>guesses_zxcvbn</c:v>
                        </c:pt>
                        <c:pt idx="7">
                          <c:v>tqe10_zxcvbn</c:v>
                        </c:pt>
                        <c:pt idx="8">
                          <c:v>tqe10k_zxcvbn</c:v>
                        </c:pt>
                        <c:pt idx="9">
                          <c:v>guesses_shannon</c:v>
                        </c:pt>
                        <c:pt idx="10">
                          <c:v>tqe10_shannon</c:v>
                        </c:pt>
                        <c:pt idx="11">
                          <c:v>tqe10k_shannon</c:v>
                        </c:pt>
                        <c:pt idx="12">
                          <c:v>guesses_zxcvbn</c:v>
                        </c:pt>
                        <c:pt idx="13">
                          <c:v>tqe10_zxcvbn</c:v>
                        </c:pt>
                        <c:pt idx="14">
                          <c:v>tqe10k_zxcvbn</c:v>
                        </c:pt>
                        <c:pt idx="15">
                          <c:v>guesses_shannon</c:v>
                        </c:pt>
                        <c:pt idx="16">
                          <c:v>tqe10_shannon</c:v>
                        </c:pt>
                        <c:pt idx="17">
                          <c:v>tqe10k_shannon</c:v>
                        </c:pt>
                        <c:pt idx="18">
                          <c:v>guesses_zxcvbn</c:v>
                        </c:pt>
                        <c:pt idx="19">
                          <c:v>tqe10_zxcvbn</c:v>
                        </c:pt>
                        <c:pt idx="20">
                          <c:v>tqe10k_zxcvbn</c:v>
                        </c:pt>
                        <c:pt idx="21">
                          <c:v>guesses_shannon</c:v>
                        </c:pt>
                        <c:pt idx="22">
                          <c:v>tqe10_shannon</c:v>
                        </c:pt>
                        <c:pt idx="23">
                          <c:v>tqe10k_shannon</c:v>
                        </c:pt>
                      </c:lvl>
                      <c:lvl>
                        <c:pt idx="0">
                          <c:v>Classe 1</c:v>
                        </c:pt>
                        <c:pt idx="6">
                          <c:v>Classe 2</c:v>
                        </c:pt>
                        <c:pt idx="12">
                          <c:v>Classe 3</c:v>
                        </c:pt>
                        <c:pt idx="18">
                          <c:v>Classe 4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Kaspersky!$V$70:$V$93</c15:sqref>
                        </c15:formulaRef>
                      </c:ext>
                    </c:extLst>
                    <c:numCache>
                      <c:formatCode>0.00</c:formatCode>
                      <c:ptCount val="2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B0-4C8C-AC85-2E646E0BEC9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Kaspersky!$X$69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00B05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Kaspersky!$Q$70:$R$93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guesses_zxcvbn</c:v>
                        </c:pt>
                        <c:pt idx="1">
                          <c:v>tqe10_zxcvbn</c:v>
                        </c:pt>
                        <c:pt idx="2">
                          <c:v>tqe10k_zxcvbn</c:v>
                        </c:pt>
                        <c:pt idx="3">
                          <c:v>guesses_shannon</c:v>
                        </c:pt>
                        <c:pt idx="4">
                          <c:v>tqe10_shannon</c:v>
                        </c:pt>
                        <c:pt idx="5">
                          <c:v>tqe10k_shannon</c:v>
                        </c:pt>
                        <c:pt idx="6">
                          <c:v>guesses_zxcvbn</c:v>
                        </c:pt>
                        <c:pt idx="7">
                          <c:v>tqe10_zxcvbn</c:v>
                        </c:pt>
                        <c:pt idx="8">
                          <c:v>tqe10k_zxcvbn</c:v>
                        </c:pt>
                        <c:pt idx="9">
                          <c:v>guesses_shannon</c:v>
                        </c:pt>
                        <c:pt idx="10">
                          <c:v>tqe10_shannon</c:v>
                        </c:pt>
                        <c:pt idx="11">
                          <c:v>tqe10k_shannon</c:v>
                        </c:pt>
                        <c:pt idx="12">
                          <c:v>guesses_zxcvbn</c:v>
                        </c:pt>
                        <c:pt idx="13">
                          <c:v>tqe10_zxcvbn</c:v>
                        </c:pt>
                        <c:pt idx="14">
                          <c:v>tqe10k_zxcvbn</c:v>
                        </c:pt>
                        <c:pt idx="15">
                          <c:v>guesses_shannon</c:v>
                        </c:pt>
                        <c:pt idx="16">
                          <c:v>tqe10_shannon</c:v>
                        </c:pt>
                        <c:pt idx="17">
                          <c:v>tqe10k_shannon</c:v>
                        </c:pt>
                        <c:pt idx="18">
                          <c:v>guesses_zxcvbn</c:v>
                        </c:pt>
                        <c:pt idx="19">
                          <c:v>tqe10_zxcvbn</c:v>
                        </c:pt>
                        <c:pt idx="20">
                          <c:v>tqe10k_zxcvbn</c:v>
                        </c:pt>
                        <c:pt idx="21">
                          <c:v>guesses_shannon</c:v>
                        </c:pt>
                        <c:pt idx="22">
                          <c:v>tqe10_shannon</c:v>
                        </c:pt>
                        <c:pt idx="23">
                          <c:v>tqe10k_shannon</c:v>
                        </c:pt>
                      </c:lvl>
                      <c:lvl>
                        <c:pt idx="0">
                          <c:v>Classe 1</c:v>
                        </c:pt>
                        <c:pt idx="6">
                          <c:v>Classe 2</c:v>
                        </c:pt>
                        <c:pt idx="12">
                          <c:v>Classe 3</c:v>
                        </c:pt>
                        <c:pt idx="18">
                          <c:v>Classe 4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Kaspersky!$X$70:$X$93</c15:sqref>
                        </c15:formulaRef>
                      </c:ext>
                    </c:extLst>
                    <c:numCache>
                      <c:formatCode>0.00</c:formatCode>
                      <c:ptCount val="2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B0-4C8C-AC85-2E646E0BEC9B}"/>
                  </c:ext>
                </c:extLst>
              </c15:ser>
            </c15:filteredBarSeries>
          </c:ext>
        </c:extLst>
      </c:barChart>
      <c:catAx>
        <c:axId val="7329469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545615"/>
        <c:crossesAt val="-5"/>
        <c:auto val="1"/>
        <c:lblAlgn val="ctr"/>
        <c:lblOffset val="100"/>
        <c:noMultiLvlLbl val="0"/>
      </c:catAx>
      <c:valAx>
        <c:axId val="179545615"/>
        <c:scaling>
          <c:orientation val="minMax"/>
          <c:min val="-5"/>
        </c:scaling>
        <c:delete val="0"/>
        <c:axPos val="t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294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Kaspersky!$R$96</c:f>
              <c:strCache>
                <c:ptCount val="1"/>
                <c:pt idx="0">
                  <c:v>Classe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Kaspersky!$S$95:$X$95</c15:sqref>
                  </c15:fullRef>
                </c:ext>
              </c:extLst>
              <c:f>(Kaspersky!$S$95,Kaspersky!$U$95,Kaspersky!$W$95)</c:f>
              <c:strCache>
                <c:ptCount val="3"/>
                <c:pt idx="0">
                  <c:v>8 caracteres</c:v>
                </c:pt>
                <c:pt idx="1">
                  <c:v>12 caracteres</c:v>
                </c:pt>
                <c:pt idx="2">
                  <c:v>16 caracteres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Kaspersky!$S$96:$X$96</c15:sqref>
                  </c15:fullRef>
                </c:ext>
              </c:extLst>
              <c:f>(Kaspersky!$S$96,Kaspersky!$U$96,Kaspersky!$W$96)</c:f>
              <c:numCache>
                <c:formatCode>0.00</c:formatCode>
                <c:ptCount val="3"/>
                <c:pt idx="0">
                  <c:v>1</c:v>
                </c:pt>
                <c:pt idx="1">
                  <c:v>0.5</c:v>
                </c:pt>
                <c:pt idx="2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3-4076-9F6C-347AE2F5F57E}"/>
            </c:ext>
          </c:extLst>
        </c:ser>
        <c:ser>
          <c:idx val="1"/>
          <c:order val="1"/>
          <c:tx>
            <c:strRef>
              <c:f>Kaspersky!$R$97</c:f>
              <c:strCache>
                <c:ptCount val="1"/>
                <c:pt idx="0">
                  <c:v>Classe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Kaspersky!$S$95:$X$95</c15:sqref>
                  </c15:fullRef>
                </c:ext>
              </c:extLst>
              <c:f>(Kaspersky!$S$95,Kaspersky!$U$95,Kaspersky!$W$95)</c:f>
              <c:strCache>
                <c:ptCount val="3"/>
                <c:pt idx="0">
                  <c:v>8 caracteres</c:v>
                </c:pt>
                <c:pt idx="1">
                  <c:v>12 caracteres</c:v>
                </c:pt>
                <c:pt idx="2">
                  <c:v>16 caracteres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Kaspersky!$S$97:$X$97</c15:sqref>
                  </c15:fullRef>
                </c:ext>
              </c:extLst>
              <c:f>(Kaspersky!$S$97,Kaspersky!$U$97,Kaspersky!$W$97)</c:f>
              <c:numCache>
                <c:formatCode>0.00</c:formatCode>
                <c:ptCount val="3"/>
                <c:pt idx="0">
                  <c:v>1</c:v>
                </c:pt>
                <c:pt idx="1">
                  <c:v>0.5</c:v>
                </c:pt>
                <c:pt idx="2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23-4076-9F6C-347AE2F5F57E}"/>
            </c:ext>
          </c:extLst>
        </c:ser>
        <c:ser>
          <c:idx val="2"/>
          <c:order val="2"/>
          <c:tx>
            <c:strRef>
              <c:f>Kaspersky!$R$98</c:f>
              <c:strCache>
                <c:ptCount val="1"/>
                <c:pt idx="0">
                  <c:v>Classe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Kaspersky!$S$95:$X$95</c15:sqref>
                  </c15:fullRef>
                </c:ext>
              </c:extLst>
              <c:f>(Kaspersky!$S$95,Kaspersky!$U$95,Kaspersky!$W$95)</c:f>
              <c:strCache>
                <c:ptCount val="3"/>
                <c:pt idx="0">
                  <c:v>8 caracteres</c:v>
                </c:pt>
                <c:pt idx="1">
                  <c:v>12 caracteres</c:v>
                </c:pt>
                <c:pt idx="2">
                  <c:v>16 caracteres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Kaspersky!$S$98:$X$98</c15:sqref>
                  </c15:fullRef>
                </c:ext>
              </c:extLst>
              <c:f>(Kaspersky!$S$98,Kaspersky!$U$98,Kaspersky!$W$98)</c:f>
              <c:numCache>
                <c:formatCode>0.00</c:formatCode>
                <c:ptCount val="3"/>
                <c:pt idx="0">
                  <c:v>1</c:v>
                </c:pt>
                <c:pt idx="1">
                  <c:v>0.61250000000000004</c:v>
                </c:pt>
                <c:pt idx="2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23-4076-9F6C-347AE2F5F57E}"/>
            </c:ext>
          </c:extLst>
        </c:ser>
        <c:ser>
          <c:idx val="3"/>
          <c:order val="3"/>
          <c:tx>
            <c:strRef>
              <c:f>Kaspersky!$R$99</c:f>
              <c:strCache>
                <c:ptCount val="1"/>
                <c:pt idx="0">
                  <c:v>Classe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Kaspersky!$S$95:$X$95</c15:sqref>
                  </c15:fullRef>
                </c:ext>
              </c:extLst>
              <c:f>(Kaspersky!$S$95,Kaspersky!$U$95,Kaspersky!$W$95)</c:f>
              <c:strCache>
                <c:ptCount val="3"/>
                <c:pt idx="0">
                  <c:v>8 caracteres</c:v>
                </c:pt>
                <c:pt idx="1">
                  <c:v>12 caracteres</c:v>
                </c:pt>
                <c:pt idx="2">
                  <c:v>16 caracteres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Kaspersky!$S$99:$X$99</c15:sqref>
                  </c15:fullRef>
                </c:ext>
              </c:extLst>
              <c:f>(Kaspersky!$S$99,Kaspersky!$U$99,Kaspersky!$W$99)</c:f>
              <c:numCache>
                <c:formatCode>0.00</c:formatCode>
                <c:ptCount val="3"/>
                <c:pt idx="0">
                  <c:v>1.05</c:v>
                </c:pt>
                <c:pt idx="1">
                  <c:v>0.7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23-4076-9F6C-347AE2F5F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3813168"/>
        <c:axId val="1894401136"/>
      </c:barChart>
      <c:catAx>
        <c:axId val="179381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4401136"/>
        <c:crosses val="autoZero"/>
        <c:auto val="1"/>
        <c:lblAlgn val="ctr"/>
        <c:lblOffset val="100"/>
        <c:noMultiLvlLbl val="0"/>
      </c:catAx>
      <c:valAx>
        <c:axId val="189440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381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Keeper!$S$69</c:f>
              <c:strCache>
                <c:ptCount val="1"/>
                <c:pt idx="0">
                  <c:v>8 caracteres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Keeper!$Q$70:$R$93</c:f>
              <c:multiLvlStrCache>
                <c:ptCount val="24"/>
                <c:lvl>
                  <c:pt idx="0">
                    <c:v>guesses_zxcvbn</c:v>
                  </c:pt>
                  <c:pt idx="1">
                    <c:v>tqe10_zxcvbn</c:v>
                  </c:pt>
                  <c:pt idx="2">
                    <c:v>tqe10k_zxcvbn</c:v>
                  </c:pt>
                  <c:pt idx="3">
                    <c:v>guesses_shannon</c:v>
                  </c:pt>
                  <c:pt idx="4">
                    <c:v>tqe10_shannon</c:v>
                  </c:pt>
                  <c:pt idx="5">
                    <c:v>tqe10k_shannon</c:v>
                  </c:pt>
                  <c:pt idx="6">
                    <c:v>guesses_zxcvbn</c:v>
                  </c:pt>
                  <c:pt idx="7">
                    <c:v>tqe10_zxcvbn</c:v>
                  </c:pt>
                  <c:pt idx="8">
                    <c:v>tqe10k_zxcvbn</c:v>
                  </c:pt>
                  <c:pt idx="9">
                    <c:v>guesses_shannon</c:v>
                  </c:pt>
                  <c:pt idx="10">
                    <c:v>tqe10_shannon</c:v>
                  </c:pt>
                  <c:pt idx="11">
                    <c:v>tqe10k_shannon</c:v>
                  </c:pt>
                  <c:pt idx="12">
                    <c:v>guesses_zxcvbn</c:v>
                  </c:pt>
                  <c:pt idx="13">
                    <c:v>tqe10_zxcvbn</c:v>
                  </c:pt>
                  <c:pt idx="14">
                    <c:v>tqe10k_zxcvbn</c:v>
                  </c:pt>
                  <c:pt idx="15">
                    <c:v>guesses_shannon</c:v>
                  </c:pt>
                  <c:pt idx="16">
                    <c:v>tqe10_shannon</c:v>
                  </c:pt>
                  <c:pt idx="17">
                    <c:v>tqe10k_shannon</c:v>
                  </c:pt>
                  <c:pt idx="18">
                    <c:v>guesses_zxcvbn</c:v>
                  </c:pt>
                  <c:pt idx="19">
                    <c:v>tqe10_zxcvbn</c:v>
                  </c:pt>
                  <c:pt idx="20">
                    <c:v>tqe10k_zxcvbn</c:v>
                  </c:pt>
                  <c:pt idx="21">
                    <c:v>guesses_shannon</c:v>
                  </c:pt>
                  <c:pt idx="22">
                    <c:v>tqe10_shannon</c:v>
                  </c:pt>
                  <c:pt idx="23">
                    <c:v>tqe10k_shannon</c:v>
                  </c:pt>
                </c:lvl>
                <c:lvl>
                  <c:pt idx="0">
                    <c:v>Classe 1</c:v>
                  </c:pt>
                  <c:pt idx="6">
                    <c:v>Classe 2</c:v>
                  </c:pt>
                  <c:pt idx="12">
                    <c:v>Classe 3</c:v>
                  </c:pt>
                  <c:pt idx="18">
                    <c:v>Classe 4</c:v>
                  </c:pt>
                </c:lvl>
              </c:multiLvlStrCache>
            </c:multiLvlStrRef>
          </c:cat>
          <c:val>
            <c:numRef>
              <c:f>Keeper!$S$70:$S$93</c:f>
              <c:numCache>
                <c:formatCode>0.00</c:formatCode>
                <c:ptCount val="24"/>
                <c:pt idx="0">
                  <c:v>8</c:v>
                </c:pt>
                <c:pt idx="1">
                  <c:v>-0.5</c:v>
                </c:pt>
                <c:pt idx="2">
                  <c:v>-3.5</c:v>
                </c:pt>
                <c:pt idx="3">
                  <c:v>11.319999999999997</c:v>
                </c:pt>
                <c:pt idx="4">
                  <c:v>2.82</c:v>
                </c:pt>
                <c:pt idx="5">
                  <c:v>-0.18000000000000005</c:v>
                </c:pt>
                <c:pt idx="6">
                  <c:v>7.95</c:v>
                </c:pt>
                <c:pt idx="7">
                  <c:v>-0.55000000000000004</c:v>
                </c:pt>
                <c:pt idx="8">
                  <c:v>-3.55</c:v>
                </c:pt>
                <c:pt idx="9">
                  <c:v>13.729999999999999</c:v>
                </c:pt>
                <c:pt idx="10">
                  <c:v>5.2300000000000022</c:v>
                </c:pt>
                <c:pt idx="11">
                  <c:v>2.2299999999999995</c:v>
                </c:pt>
                <c:pt idx="12">
                  <c:v>8</c:v>
                </c:pt>
                <c:pt idx="13">
                  <c:v>-0.5</c:v>
                </c:pt>
                <c:pt idx="14">
                  <c:v>-3.5</c:v>
                </c:pt>
                <c:pt idx="15">
                  <c:v>14.864999999999995</c:v>
                </c:pt>
                <c:pt idx="16">
                  <c:v>6.3700000000000028</c:v>
                </c:pt>
                <c:pt idx="17">
                  <c:v>3.3699999999999997</c:v>
                </c:pt>
                <c:pt idx="18">
                  <c:v>7.9209999999999994</c:v>
                </c:pt>
                <c:pt idx="19">
                  <c:v>-0.57899999999999996</c:v>
                </c:pt>
                <c:pt idx="20">
                  <c:v>-3.5789999999999997</c:v>
                </c:pt>
                <c:pt idx="21">
                  <c:v>15.690999999999999</c:v>
                </c:pt>
                <c:pt idx="22">
                  <c:v>7.1910000000000007</c:v>
                </c:pt>
                <c:pt idx="23">
                  <c:v>4.1910000000000007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2-4ACE-8314-F7A345DDF62F}"/>
            </c:ext>
          </c:extLst>
        </c:ser>
        <c:ser>
          <c:idx val="2"/>
          <c:order val="2"/>
          <c:tx>
            <c:strRef>
              <c:f>Keeper!$U$69</c:f>
              <c:strCache>
                <c:ptCount val="1"/>
                <c:pt idx="0">
                  <c:v>12 caracteres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Keeper!$Q$70:$R$93</c:f>
              <c:multiLvlStrCache>
                <c:ptCount val="24"/>
                <c:lvl>
                  <c:pt idx="0">
                    <c:v>guesses_zxcvbn</c:v>
                  </c:pt>
                  <c:pt idx="1">
                    <c:v>tqe10_zxcvbn</c:v>
                  </c:pt>
                  <c:pt idx="2">
                    <c:v>tqe10k_zxcvbn</c:v>
                  </c:pt>
                  <c:pt idx="3">
                    <c:v>guesses_shannon</c:v>
                  </c:pt>
                  <c:pt idx="4">
                    <c:v>tqe10_shannon</c:v>
                  </c:pt>
                  <c:pt idx="5">
                    <c:v>tqe10k_shannon</c:v>
                  </c:pt>
                  <c:pt idx="6">
                    <c:v>guesses_zxcvbn</c:v>
                  </c:pt>
                  <c:pt idx="7">
                    <c:v>tqe10_zxcvbn</c:v>
                  </c:pt>
                  <c:pt idx="8">
                    <c:v>tqe10k_zxcvbn</c:v>
                  </c:pt>
                  <c:pt idx="9">
                    <c:v>guesses_shannon</c:v>
                  </c:pt>
                  <c:pt idx="10">
                    <c:v>tqe10_shannon</c:v>
                  </c:pt>
                  <c:pt idx="11">
                    <c:v>tqe10k_shannon</c:v>
                  </c:pt>
                  <c:pt idx="12">
                    <c:v>guesses_zxcvbn</c:v>
                  </c:pt>
                  <c:pt idx="13">
                    <c:v>tqe10_zxcvbn</c:v>
                  </c:pt>
                  <c:pt idx="14">
                    <c:v>tqe10k_zxcvbn</c:v>
                  </c:pt>
                  <c:pt idx="15">
                    <c:v>guesses_shannon</c:v>
                  </c:pt>
                  <c:pt idx="16">
                    <c:v>tqe10_shannon</c:v>
                  </c:pt>
                  <c:pt idx="17">
                    <c:v>tqe10k_shannon</c:v>
                  </c:pt>
                  <c:pt idx="18">
                    <c:v>guesses_zxcvbn</c:v>
                  </c:pt>
                  <c:pt idx="19">
                    <c:v>tqe10_zxcvbn</c:v>
                  </c:pt>
                  <c:pt idx="20">
                    <c:v>tqe10k_zxcvbn</c:v>
                  </c:pt>
                  <c:pt idx="21">
                    <c:v>guesses_shannon</c:v>
                  </c:pt>
                  <c:pt idx="22">
                    <c:v>tqe10_shannon</c:v>
                  </c:pt>
                  <c:pt idx="23">
                    <c:v>tqe10k_shannon</c:v>
                  </c:pt>
                </c:lvl>
                <c:lvl>
                  <c:pt idx="0">
                    <c:v>Classe 1</c:v>
                  </c:pt>
                  <c:pt idx="6">
                    <c:v>Classe 2</c:v>
                  </c:pt>
                  <c:pt idx="12">
                    <c:v>Classe 3</c:v>
                  </c:pt>
                  <c:pt idx="18">
                    <c:v>Classe 4</c:v>
                  </c:pt>
                </c:lvl>
              </c:multiLvlStrCache>
            </c:multiLvlStrRef>
          </c:cat>
          <c:val>
            <c:numRef>
              <c:f>Keeper!$U$70:$U$93</c:f>
              <c:numCache>
                <c:formatCode>0.00</c:formatCode>
                <c:ptCount val="24"/>
                <c:pt idx="0">
                  <c:v>11.830500000000001</c:v>
                </c:pt>
                <c:pt idx="1">
                  <c:v>3.3304999999999998</c:v>
                </c:pt>
                <c:pt idx="2">
                  <c:v>0.33050000000000002</c:v>
                </c:pt>
                <c:pt idx="3">
                  <c:v>16.98</c:v>
                </c:pt>
                <c:pt idx="4">
                  <c:v>8.48</c:v>
                </c:pt>
                <c:pt idx="5">
                  <c:v>5.4800000000000022</c:v>
                </c:pt>
                <c:pt idx="6">
                  <c:v>12</c:v>
                </c:pt>
                <c:pt idx="7">
                  <c:v>3.5</c:v>
                </c:pt>
                <c:pt idx="8">
                  <c:v>0.5</c:v>
                </c:pt>
                <c:pt idx="9">
                  <c:v>20.589999999999993</c:v>
                </c:pt>
                <c:pt idx="10">
                  <c:v>12.090000000000002</c:v>
                </c:pt>
                <c:pt idx="11">
                  <c:v>9.0900000000000016</c:v>
                </c:pt>
                <c:pt idx="12">
                  <c:v>11.962</c:v>
                </c:pt>
                <c:pt idx="13">
                  <c:v>3.4624999999999999</c:v>
                </c:pt>
                <c:pt idx="14">
                  <c:v>0.46250000000000002</c:v>
                </c:pt>
                <c:pt idx="15">
                  <c:v>22.299999999999997</c:v>
                </c:pt>
                <c:pt idx="16">
                  <c:v>13.799999999999997</c:v>
                </c:pt>
                <c:pt idx="17">
                  <c:v>10.799999999999997</c:v>
                </c:pt>
                <c:pt idx="18">
                  <c:v>11.908999999999999</c:v>
                </c:pt>
                <c:pt idx="19">
                  <c:v>3.4095</c:v>
                </c:pt>
                <c:pt idx="20">
                  <c:v>0.40950000000000009</c:v>
                </c:pt>
                <c:pt idx="21">
                  <c:v>23.581000000000003</c:v>
                </c:pt>
                <c:pt idx="22">
                  <c:v>15.081500000000005</c:v>
                </c:pt>
                <c:pt idx="23">
                  <c:v>12.081500000000004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A2-4ACE-8314-F7A345DDF62F}"/>
            </c:ext>
          </c:extLst>
        </c:ser>
        <c:ser>
          <c:idx val="4"/>
          <c:order val="4"/>
          <c:tx>
            <c:strRef>
              <c:f>Keeper!$W$69</c:f>
              <c:strCache>
                <c:ptCount val="1"/>
                <c:pt idx="0">
                  <c:v>16 caracteres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Keeper!$Q$70:$R$93</c:f>
              <c:multiLvlStrCache>
                <c:ptCount val="24"/>
                <c:lvl>
                  <c:pt idx="0">
                    <c:v>guesses_zxcvbn</c:v>
                  </c:pt>
                  <c:pt idx="1">
                    <c:v>tqe10_zxcvbn</c:v>
                  </c:pt>
                  <c:pt idx="2">
                    <c:v>tqe10k_zxcvbn</c:v>
                  </c:pt>
                  <c:pt idx="3">
                    <c:v>guesses_shannon</c:v>
                  </c:pt>
                  <c:pt idx="4">
                    <c:v>tqe10_shannon</c:v>
                  </c:pt>
                  <c:pt idx="5">
                    <c:v>tqe10k_shannon</c:v>
                  </c:pt>
                  <c:pt idx="6">
                    <c:v>guesses_zxcvbn</c:v>
                  </c:pt>
                  <c:pt idx="7">
                    <c:v>tqe10_zxcvbn</c:v>
                  </c:pt>
                  <c:pt idx="8">
                    <c:v>tqe10k_zxcvbn</c:v>
                  </c:pt>
                  <c:pt idx="9">
                    <c:v>guesses_shannon</c:v>
                  </c:pt>
                  <c:pt idx="10">
                    <c:v>tqe10_shannon</c:v>
                  </c:pt>
                  <c:pt idx="11">
                    <c:v>tqe10k_shannon</c:v>
                  </c:pt>
                  <c:pt idx="12">
                    <c:v>guesses_zxcvbn</c:v>
                  </c:pt>
                  <c:pt idx="13">
                    <c:v>tqe10_zxcvbn</c:v>
                  </c:pt>
                  <c:pt idx="14">
                    <c:v>tqe10k_zxcvbn</c:v>
                  </c:pt>
                  <c:pt idx="15">
                    <c:v>guesses_shannon</c:v>
                  </c:pt>
                  <c:pt idx="16">
                    <c:v>tqe10_shannon</c:v>
                  </c:pt>
                  <c:pt idx="17">
                    <c:v>tqe10k_shannon</c:v>
                  </c:pt>
                  <c:pt idx="18">
                    <c:v>guesses_zxcvbn</c:v>
                  </c:pt>
                  <c:pt idx="19">
                    <c:v>tqe10_zxcvbn</c:v>
                  </c:pt>
                  <c:pt idx="20">
                    <c:v>tqe10k_zxcvbn</c:v>
                  </c:pt>
                  <c:pt idx="21">
                    <c:v>guesses_shannon</c:v>
                  </c:pt>
                  <c:pt idx="22">
                    <c:v>tqe10_shannon</c:v>
                  </c:pt>
                  <c:pt idx="23">
                    <c:v>tqe10k_shannon</c:v>
                  </c:pt>
                </c:lvl>
                <c:lvl>
                  <c:pt idx="0">
                    <c:v>Classe 1</c:v>
                  </c:pt>
                  <c:pt idx="6">
                    <c:v>Classe 2</c:v>
                  </c:pt>
                  <c:pt idx="12">
                    <c:v>Classe 3</c:v>
                  </c:pt>
                  <c:pt idx="18">
                    <c:v>Classe 4</c:v>
                  </c:pt>
                </c:lvl>
              </c:multiLvlStrCache>
            </c:multiLvlStrRef>
          </c:cat>
          <c:val>
            <c:numRef>
              <c:f>Keeper!$W$70:$W$93</c:f>
              <c:numCache>
                <c:formatCode>0.00</c:formatCode>
                <c:ptCount val="24"/>
                <c:pt idx="0">
                  <c:v>15.889999999999997</c:v>
                </c:pt>
                <c:pt idx="1">
                  <c:v>7.3900000000000006</c:v>
                </c:pt>
                <c:pt idx="2">
                  <c:v>4.3899999999999997</c:v>
                </c:pt>
                <c:pt idx="3">
                  <c:v>22.639999999999993</c:v>
                </c:pt>
                <c:pt idx="4">
                  <c:v>14.139999999999995</c:v>
                </c:pt>
                <c:pt idx="5">
                  <c:v>11.139999999999995</c:v>
                </c:pt>
                <c:pt idx="6">
                  <c:v>15.9255</c:v>
                </c:pt>
                <c:pt idx="7">
                  <c:v>7.4254999999999995</c:v>
                </c:pt>
                <c:pt idx="8">
                  <c:v>4.4255000000000004</c:v>
                </c:pt>
                <c:pt idx="9">
                  <c:v>27.459999999999997</c:v>
                </c:pt>
                <c:pt idx="10">
                  <c:v>18.959999999999997</c:v>
                </c:pt>
                <c:pt idx="11">
                  <c:v>15.960000000000003</c:v>
                </c:pt>
                <c:pt idx="12">
                  <c:v>15.95</c:v>
                </c:pt>
                <c:pt idx="13">
                  <c:v>7.45</c:v>
                </c:pt>
                <c:pt idx="14">
                  <c:v>4.45</c:v>
                </c:pt>
                <c:pt idx="15">
                  <c:v>29.638499999999993</c:v>
                </c:pt>
                <c:pt idx="16">
                  <c:v>21.138999999999999</c:v>
                </c:pt>
                <c:pt idx="17">
                  <c:v>18.139000000000003</c:v>
                </c:pt>
                <c:pt idx="18">
                  <c:v>16</c:v>
                </c:pt>
                <c:pt idx="19">
                  <c:v>7.5</c:v>
                </c:pt>
                <c:pt idx="20">
                  <c:v>4.5</c:v>
                </c:pt>
                <c:pt idx="21">
                  <c:v>31.570000000000004</c:v>
                </c:pt>
                <c:pt idx="22">
                  <c:v>23.069999999999997</c:v>
                </c:pt>
                <c:pt idx="23">
                  <c:v>20.069999999999997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A2-4ACE-8314-F7A345DDF6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732946975"/>
        <c:axId val="17954561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Keeper!$T$69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Keeper!$Q$70:$R$93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guesses_zxcvbn</c:v>
                        </c:pt>
                        <c:pt idx="1">
                          <c:v>tqe10_zxcvbn</c:v>
                        </c:pt>
                        <c:pt idx="2">
                          <c:v>tqe10k_zxcvbn</c:v>
                        </c:pt>
                        <c:pt idx="3">
                          <c:v>guesses_shannon</c:v>
                        </c:pt>
                        <c:pt idx="4">
                          <c:v>tqe10_shannon</c:v>
                        </c:pt>
                        <c:pt idx="5">
                          <c:v>tqe10k_shannon</c:v>
                        </c:pt>
                        <c:pt idx="6">
                          <c:v>guesses_zxcvbn</c:v>
                        </c:pt>
                        <c:pt idx="7">
                          <c:v>tqe10_zxcvbn</c:v>
                        </c:pt>
                        <c:pt idx="8">
                          <c:v>tqe10k_zxcvbn</c:v>
                        </c:pt>
                        <c:pt idx="9">
                          <c:v>guesses_shannon</c:v>
                        </c:pt>
                        <c:pt idx="10">
                          <c:v>tqe10_shannon</c:v>
                        </c:pt>
                        <c:pt idx="11">
                          <c:v>tqe10k_shannon</c:v>
                        </c:pt>
                        <c:pt idx="12">
                          <c:v>guesses_zxcvbn</c:v>
                        </c:pt>
                        <c:pt idx="13">
                          <c:v>tqe10_zxcvbn</c:v>
                        </c:pt>
                        <c:pt idx="14">
                          <c:v>tqe10k_zxcvbn</c:v>
                        </c:pt>
                        <c:pt idx="15">
                          <c:v>guesses_shannon</c:v>
                        </c:pt>
                        <c:pt idx="16">
                          <c:v>tqe10_shannon</c:v>
                        </c:pt>
                        <c:pt idx="17">
                          <c:v>tqe10k_shannon</c:v>
                        </c:pt>
                        <c:pt idx="18">
                          <c:v>guesses_zxcvbn</c:v>
                        </c:pt>
                        <c:pt idx="19">
                          <c:v>tqe10_zxcvbn</c:v>
                        </c:pt>
                        <c:pt idx="20">
                          <c:v>tqe10k_zxcvbn</c:v>
                        </c:pt>
                        <c:pt idx="21">
                          <c:v>guesses_shannon</c:v>
                        </c:pt>
                        <c:pt idx="22">
                          <c:v>tqe10_shannon</c:v>
                        </c:pt>
                        <c:pt idx="23">
                          <c:v>tqe10k_shannon</c:v>
                        </c:pt>
                      </c:lvl>
                      <c:lvl>
                        <c:pt idx="0">
                          <c:v>Classe 1</c:v>
                        </c:pt>
                        <c:pt idx="6">
                          <c:v>Classe 2</c:v>
                        </c:pt>
                        <c:pt idx="12">
                          <c:v>Classe 3</c:v>
                        </c:pt>
                        <c:pt idx="18">
                          <c:v>Classe 4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Keeper!$T$70:$T$93</c15:sqref>
                        </c15:formulaRef>
                      </c:ext>
                    </c:extLst>
                    <c:numCache>
                      <c:formatCode>0.00</c:formatCode>
                      <c:ptCount val="2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15A2-4ACE-8314-F7A345DDF62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Keeper!$V$69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Keeper!$Q$70:$R$93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guesses_zxcvbn</c:v>
                        </c:pt>
                        <c:pt idx="1">
                          <c:v>tqe10_zxcvbn</c:v>
                        </c:pt>
                        <c:pt idx="2">
                          <c:v>tqe10k_zxcvbn</c:v>
                        </c:pt>
                        <c:pt idx="3">
                          <c:v>guesses_shannon</c:v>
                        </c:pt>
                        <c:pt idx="4">
                          <c:v>tqe10_shannon</c:v>
                        </c:pt>
                        <c:pt idx="5">
                          <c:v>tqe10k_shannon</c:v>
                        </c:pt>
                        <c:pt idx="6">
                          <c:v>guesses_zxcvbn</c:v>
                        </c:pt>
                        <c:pt idx="7">
                          <c:v>tqe10_zxcvbn</c:v>
                        </c:pt>
                        <c:pt idx="8">
                          <c:v>tqe10k_zxcvbn</c:v>
                        </c:pt>
                        <c:pt idx="9">
                          <c:v>guesses_shannon</c:v>
                        </c:pt>
                        <c:pt idx="10">
                          <c:v>tqe10_shannon</c:v>
                        </c:pt>
                        <c:pt idx="11">
                          <c:v>tqe10k_shannon</c:v>
                        </c:pt>
                        <c:pt idx="12">
                          <c:v>guesses_zxcvbn</c:v>
                        </c:pt>
                        <c:pt idx="13">
                          <c:v>tqe10_zxcvbn</c:v>
                        </c:pt>
                        <c:pt idx="14">
                          <c:v>tqe10k_zxcvbn</c:v>
                        </c:pt>
                        <c:pt idx="15">
                          <c:v>guesses_shannon</c:v>
                        </c:pt>
                        <c:pt idx="16">
                          <c:v>tqe10_shannon</c:v>
                        </c:pt>
                        <c:pt idx="17">
                          <c:v>tqe10k_shannon</c:v>
                        </c:pt>
                        <c:pt idx="18">
                          <c:v>guesses_zxcvbn</c:v>
                        </c:pt>
                        <c:pt idx="19">
                          <c:v>tqe10_zxcvbn</c:v>
                        </c:pt>
                        <c:pt idx="20">
                          <c:v>tqe10k_zxcvbn</c:v>
                        </c:pt>
                        <c:pt idx="21">
                          <c:v>guesses_shannon</c:v>
                        </c:pt>
                        <c:pt idx="22">
                          <c:v>tqe10_shannon</c:v>
                        </c:pt>
                        <c:pt idx="23">
                          <c:v>tqe10k_shannon</c:v>
                        </c:pt>
                      </c:lvl>
                      <c:lvl>
                        <c:pt idx="0">
                          <c:v>Classe 1</c:v>
                        </c:pt>
                        <c:pt idx="6">
                          <c:v>Classe 2</c:v>
                        </c:pt>
                        <c:pt idx="12">
                          <c:v>Classe 3</c:v>
                        </c:pt>
                        <c:pt idx="18">
                          <c:v>Classe 4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Keeper!$V$70:$V$93</c15:sqref>
                        </c15:formulaRef>
                      </c:ext>
                    </c:extLst>
                    <c:numCache>
                      <c:formatCode>0.00</c:formatCode>
                      <c:ptCount val="2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5A2-4ACE-8314-F7A345DDF62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Keeper!$X$69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00B05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Keeper!$Q$70:$R$93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guesses_zxcvbn</c:v>
                        </c:pt>
                        <c:pt idx="1">
                          <c:v>tqe10_zxcvbn</c:v>
                        </c:pt>
                        <c:pt idx="2">
                          <c:v>tqe10k_zxcvbn</c:v>
                        </c:pt>
                        <c:pt idx="3">
                          <c:v>guesses_shannon</c:v>
                        </c:pt>
                        <c:pt idx="4">
                          <c:v>tqe10_shannon</c:v>
                        </c:pt>
                        <c:pt idx="5">
                          <c:v>tqe10k_shannon</c:v>
                        </c:pt>
                        <c:pt idx="6">
                          <c:v>guesses_zxcvbn</c:v>
                        </c:pt>
                        <c:pt idx="7">
                          <c:v>tqe10_zxcvbn</c:v>
                        </c:pt>
                        <c:pt idx="8">
                          <c:v>tqe10k_zxcvbn</c:v>
                        </c:pt>
                        <c:pt idx="9">
                          <c:v>guesses_shannon</c:v>
                        </c:pt>
                        <c:pt idx="10">
                          <c:v>tqe10_shannon</c:v>
                        </c:pt>
                        <c:pt idx="11">
                          <c:v>tqe10k_shannon</c:v>
                        </c:pt>
                        <c:pt idx="12">
                          <c:v>guesses_zxcvbn</c:v>
                        </c:pt>
                        <c:pt idx="13">
                          <c:v>tqe10_zxcvbn</c:v>
                        </c:pt>
                        <c:pt idx="14">
                          <c:v>tqe10k_zxcvbn</c:v>
                        </c:pt>
                        <c:pt idx="15">
                          <c:v>guesses_shannon</c:v>
                        </c:pt>
                        <c:pt idx="16">
                          <c:v>tqe10_shannon</c:v>
                        </c:pt>
                        <c:pt idx="17">
                          <c:v>tqe10k_shannon</c:v>
                        </c:pt>
                        <c:pt idx="18">
                          <c:v>guesses_zxcvbn</c:v>
                        </c:pt>
                        <c:pt idx="19">
                          <c:v>tqe10_zxcvbn</c:v>
                        </c:pt>
                        <c:pt idx="20">
                          <c:v>tqe10k_zxcvbn</c:v>
                        </c:pt>
                        <c:pt idx="21">
                          <c:v>guesses_shannon</c:v>
                        </c:pt>
                        <c:pt idx="22">
                          <c:v>tqe10_shannon</c:v>
                        </c:pt>
                        <c:pt idx="23">
                          <c:v>tqe10k_shannon</c:v>
                        </c:pt>
                      </c:lvl>
                      <c:lvl>
                        <c:pt idx="0">
                          <c:v>Classe 1</c:v>
                        </c:pt>
                        <c:pt idx="6">
                          <c:v>Classe 2</c:v>
                        </c:pt>
                        <c:pt idx="12">
                          <c:v>Classe 3</c:v>
                        </c:pt>
                        <c:pt idx="18">
                          <c:v>Classe 4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Keeper!$X$70:$X$93</c15:sqref>
                        </c15:formulaRef>
                      </c:ext>
                    </c:extLst>
                    <c:numCache>
                      <c:formatCode>0.00</c:formatCode>
                      <c:ptCount val="2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5A2-4ACE-8314-F7A345DDF62F}"/>
                  </c:ext>
                </c:extLst>
              </c15:ser>
            </c15:filteredBarSeries>
          </c:ext>
        </c:extLst>
      </c:barChart>
      <c:catAx>
        <c:axId val="7329469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545615"/>
        <c:crossesAt val="-5"/>
        <c:auto val="1"/>
        <c:lblAlgn val="ctr"/>
        <c:lblOffset val="100"/>
        <c:noMultiLvlLbl val="0"/>
      </c:catAx>
      <c:valAx>
        <c:axId val="179545615"/>
        <c:scaling>
          <c:orientation val="minMax"/>
          <c:min val="-5"/>
        </c:scaling>
        <c:delete val="0"/>
        <c:axPos val="t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294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Keeper!$R$96</c:f>
              <c:strCache>
                <c:ptCount val="1"/>
                <c:pt idx="0">
                  <c:v>Classe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Keeper!$S$95:$X$95</c15:sqref>
                  </c15:fullRef>
                </c:ext>
              </c:extLst>
              <c:f>(Keeper!$S$95,Keeper!$U$95,Keeper!$W$95)</c:f>
              <c:strCache>
                <c:ptCount val="3"/>
                <c:pt idx="0">
                  <c:v>8 caracteres</c:v>
                </c:pt>
                <c:pt idx="1">
                  <c:v>12 caracteres</c:v>
                </c:pt>
                <c:pt idx="2">
                  <c:v>16 caracteres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Keeper!$S$96:$X$96</c15:sqref>
                  </c15:fullRef>
                </c:ext>
              </c:extLst>
              <c:f>(Keeper!$S$96,Keeper!$U$96,Keeper!$W$96)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B-44C6-BF13-9A4312652499}"/>
            </c:ext>
          </c:extLst>
        </c:ser>
        <c:ser>
          <c:idx val="1"/>
          <c:order val="1"/>
          <c:tx>
            <c:strRef>
              <c:f>Keeper!$R$97</c:f>
              <c:strCache>
                <c:ptCount val="1"/>
                <c:pt idx="0">
                  <c:v>Classe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Keeper!$S$95:$X$95</c15:sqref>
                  </c15:fullRef>
                </c:ext>
              </c:extLst>
              <c:f>(Keeper!$S$95,Keeper!$U$95,Keeper!$W$95)</c:f>
              <c:strCache>
                <c:ptCount val="3"/>
                <c:pt idx="0">
                  <c:v>8 caracteres</c:v>
                </c:pt>
                <c:pt idx="1">
                  <c:v>12 caracteres</c:v>
                </c:pt>
                <c:pt idx="2">
                  <c:v>16 caracteres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Keeper!$S$97:$X$97</c15:sqref>
                  </c15:fullRef>
                </c:ext>
              </c:extLst>
              <c:f>(Keeper!$S$97,Keeper!$U$97,Keeper!$W$97)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2B-44C6-BF13-9A4312652499}"/>
            </c:ext>
          </c:extLst>
        </c:ser>
        <c:ser>
          <c:idx val="2"/>
          <c:order val="2"/>
          <c:tx>
            <c:strRef>
              <c:f>Keeper!$R$98</c:f>
              <c:strCache>
                <c:ptCount val="1"/>
                <c:pt idx="0">
                  <c:v>Classe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Keeper!$S$95:$X$95</c15:sqref>
                  </c15:fullRef>
                </c:ext>
              </c:extLst>
              <c:f>(Keeper!$S$95,Keeper!$U$95,Keeper!$W$95)</c:f>
              <c:strCache>
                <c:ptCount val="3"/>
                <c:pt idx="0">
                  <c:v>8 caracteres</c:v>
                </c:pt>
                <c:pt idx="1">
                  <c:v>12 caracteres</c:v>
                </c:pt>
                <c:pt idx="2">
                  <c:v>16 caracteres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Keeper!$S$98:$X$98</c15:sqref>
                  </c15:fullRef>
                </c:ext>
              </c:extLst>
              <c:f>(Keeper!$S$98,Keeper!$U$98,Keeper!$W$98)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2B-44C6-BF13-9A4312652499}"/>
            </c:ext>
          </c:extLst>
        </c:ser>
        <c:ser>
          <c:idx val="3"/>
          <c:order val="3"/>
          <c:tx>
            <c:strRef>
              <c:f>Keeper!$R$99</c:f>
              <c:strCache>
                <c:ptCount val="1"/>
                <c:pt idx="0">
                  <c:v>Classe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Keeper!$S$95:$X$95</c15:sqref>
                  </c15:fullRef>
                </c:ext>
              </c:extLst>
              <c:f>(Keeper!$S$95,Keeper!$U$95,Keeper!$W$95)</c:f>
              <c:strCache>
                <c:ptCount val="3"/>
                <c:pt idx="0">
                  <c:v>8 caracteres</c:v>
                </c:pt>
                <c:pt idx="1">
                  <c:v>12 caracteres</c:v>
                </c:pt>
                <c:pt idx="2">
                  <c:v>16 caracteres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Keeper!$S$99:$X$99</c15:sqref>
                  </c15:fullRef>
                </c:ext>
              </c:extLst>
              <c:f>(Keeper!$S$99,Keeper!$U$99,Keeper!$W$99)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2B-44C6-BF13-9A4312652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3813168"/>
        <c:axId val="1894401136"/>
      </c:barChart>
      <c:catAx>
        <c:axId val="179381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4401136"/>
        <c:crosses val="autoZero"/>
        <c:auto val="1"/>
        <c:lblAlgn val="ctr"/>
        <c:lblOffset val="100"/>
        <c:noMultiLvlLbl val="0"/>
      </c:catAx>
      <c:valAx>
        <c:axId val="189440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381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LastPass!$S$74</c:f>
              <c:strCache>
                <c:ptCount val="1"/>
                <c:pt idx="0">
                  <c:v>8 caracteres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LastPass!$Q$75:$R$98</c:f>
              <c:multiLvlStrCache>
                <c:ptCount val="24"/>
                <c:lvl>
                  <c:pt idx="0">
                    <c:v>guesses_zxcvbn</c:v>
                  </c:pt>
                  <c:pt idx="1">
                    <c:v>tqe10_zxcvbn</c:v>
                  </c:pt>
                  <c:pt idx="2">
                    <c:v>tqe10k_zxcvbn</c:v>
                  </c:pt>
                  <c:pt idx="3">
                    <c:v>guesses_shannon</c:v>
                  </c:pt>
                  <c:pt idx="4">
                    <c:v>tqe10_shannon</c:v>
                  </c:pt>
                  <c:pt idx="5">
                    <c:v>tqe10k_shannon</c:v>
                  </c:pt>
                  <c:pt idx="6">
                    <c:v>guesses_zxcvbn</c:v>
                  </c:pt>
                  <c:pt idx="7">
                    <c:v>tqe10_zxcvbn</c:v>
                  </c:pt>
                  <c:pt idx="8">
                    <c:v>tqe10k_zxcvbn</c:v>
                  </c:pt>
                  <c:pt idx="9">
                    <c:v>guesses_shannon</c:v>
                  </c:pt>
                  <c:pt idx="10">
                    <c:v>tqe10_shannon</c:v>
                  </c:pt>
                  <c:pt idx="11">
                    <c:v>tqe10k_shannon</c:v>
                  </c:pt>
                  <c:pt idx="12">
                    <c:v>guesses_zxcvbn</c:v>
                  </c:pt>
                  <c:pt idx="13">
                    <c:v>tqe10_zxcvbn</c:v>
                  </c:pt>
                  <c:pt idx="14">
                    <c:v>tqe10k_zxcvbn</c:v>
                  </c:pt>
                  <c:pt idx="15">
                    <c:v>guesses_shannon</c:v>
                  </c:pt>
                  <c:pt idx="16">
                    <c:v>tqe10_shannon</c:v>
                  </c:pt>
                  <c:pt idx="17">
                    <c:v>tqe10k_shannon</c:v>
                  </c:pt>
                  <c:pt idx="18">
                    <c:v>guesses_zxcvbn</c:v>
                  </c:pt>
                  <c:pt idx="19">
                    <c:v>tqe10_zxcvbn</c:v>
                  </c:pt>
                  <c:pt idx="20">
                    <c:v>tqe10k_zxcvbn</c:v>
                  </c:pt>
                  <c:pt idx="21">
                    <c:v>guesses_shannon</c:v>
                  </c:pt>
                  <c:pt idx="22">
                    <c:v>tqe10_shannon</c:v>
                  </c:pt>
                  <c:pt idx="23">
                    <c:v>tqe10k_shannon</c:v>
                  </c:pt>
                </c:lvl>
                <c:lvl>
                  <c:pt idx="0">
                    <c:v>Classe 1</c:v>
                  </c:pt>
                  <c:pt idx="6">
                    <c:v>Classe 2</c:v>
                  </c:pt>
                  <c:pt idx="12">
                    <c:v>Classe 3</c:v>
                  </c:pt>
                  <c:pt idx="18">
                    <c:v>Classe 4</c:v>
                  </c:pt>
                </c:lvl>
              </c:multiLvlStrCache>
            </c:multiLvlStrRef>
          </c:cat>
          <c:val>
            <c:numRef>
              <c:f>LastPass!$S$75:$S$98</c:f>
              <c:numCache>
                <c:formatCode>0.00</c:formatCode>
                <c:ptCount val="24"/>
                <c:pt idx="0">
                  <c:v>7.9745000000000008</c:v>
                </c:pt>
                <c:pt idx="1">
                  <c:v>-0.52500000000000002</c:v>
                </c:pt>
                <c:pt idx="2">
                  <c:v>-3.5249999999999999</c:v>
                </c:pt>
                <c:pt idx="3">
                  <c:v>11.319999999999997</c:v>
                </c:pt>
                <c:pt idx="4">
                  <c:v>2.82</c:v>
                </c:pt>
                <c:pt idx="5">
                  <c:v>-0.18000000000000005</c:v>
                </c:pt>
                <c:pt idx="6">
                  <c:v>8</c:v>
                </c:pt>
                <c:pt idx="7">
                  <c:v>-0.5</c:v>
                </c:pt>
                <c:pt idx="8">
                  <c:v>-3.5</c:v>
                </c:pt>
                <c:pt idx="9">
                  <c:v>13.729999999999999</c:v>
                </c:pt>
                <c:pt idx="10">
                  <c:v>5.2300000000000022</c:v>
                </c:pt>
                <c:pt idx="11">
                  <c:v>2.2299999999999995</c:v>
                </c:pt>
                <c:pt idx="12">
                  <c:v>8</c:v>
                </c:pt>
                <c:pt idx="13">
                  <c:v>-0.5</c:v>
                </c:pt>
                <c:pt idx="14">
                  <c:v>-3.5</c:v>
                </c:pt>
                <c:pt idx="15">
                  <c:v>14.864999999999995</c:v>
                </c:pt>
                <c:pt idx="16">
                  <c:v>6.3700000000000028</c:v>
                </c:pt>
                <c:pt idx="17">
                  <c:v>3.3699999999999997</c:v>
                </c:pt>
                <c:pt idx="18">
                  <c:v>7.9515000000000002</c:v>
                </c:pt>
                <c:pt idx="19">
                  <c:v>-0.54849999999999999</c:v>
                </c:pt>
                <c:pt idx="20">
                  <c:v>-3.5484999999999998</c:v>
                </c:pt>
                <c:pt idx="21">
                  <c:v>15.789999999999997</c:v>
                </c:pt>
                <c:pt idx="22">
                  <c:v>7.2900000000000018</c:v>
                </c:pt>
                <c:pt idx="23">
                  <c:v>4.2900000000000009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1-450E-9EC6-C9EF9F0EE777}"/>
            </c:ext>
          </c:extLst>
        </c:ser>
        <c:ser>
          <c:idx val="2"/>
          <c:order val="2"/>
          <c:tx>
            <c:strRef>
              <c:f>LastPass!$U$74</c:f>
              <c:strCache>
                <c:ptCount val="1"/>
                <c:pt idx="0">
                  <c:v>12 caracteres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LastPass!$Q$75:$R$98</c:f>
              <c:multiLvlStrCache>
                <c:ptCount val="24"/>
                <c:lvl>
                  <c:pt idx="0">
                    <c:v>guesses_zxcvbn</c:v>
                  </c:pt>
                  <c:pt idx="1">
                    <c:v>tqe10_zxcvbn</c:v>
                  </c:pt>
                  <c:pt idx="2">
                    <c:v>tqe10k_zxcvbn</c:v>
                  </c:pt>
                  <c:pt idx="3">
                    <c:v>guesses_shannon</c:v>
                  </c:pt>
                  <c:pt idx="4">
                    <c:v>tqe10_shannon</c:v>
                  </c:pt>
                  <c:pt idx="5">
                    <c:v>tqe10k_shannon</c:v>
                  </c:pt>
                  <c:pt idx="6">
                    <c:v>guesses_zxcvbn</c:v>
                  </c:pt>
                  <c:pt idx="7">
                    <c:v>tqe10_zxcvbn</c:v>
                  </c:pt>
                  <c:pt idx="8">
                    <c:v>tqe10k_zxcvbn</c:v>
                  </c:pt>
                  <c:pt idx="9">
                    <c:v>guesses_shannon</c:v>
                  </c:pt>
                  <c:pt idx="10">
                    <c:v>tqe10_shannon</c:v>
                  </c:pt>
                  <c:pt idx="11">
                    <c:v>tqe10k_shannon</c:v>
                  </c:pt>
                  <c:pt idx="12">
                    <c:v>guesses_zxcvbn</c:v>
                  </c:pt>
                  <c:pt idx="13">
                    <c:v>tqe10_zxcvbn</c:v>
                  </c:pt>
                  <c:pt idx="14">
                    <c:v>tqe10k_zxcvbn</c:v>
                  </c:pt>
                  <c:pt idx="15">
                    <c:v>guesses_shannon</c:v>
                  </c:pt>
                  <c:pt idx="16">
                    <c:v>tqe10_shannon</c:v>
                  </c:pt>
                  <c:pt idx="17">
                    <c:v>tqe10k_shannon</c:v>
                  </c:pt>
                  <c:pt idx="18">
                    <c:v>guesses_zxcvbn</c:v>
                  </c:pt>
                  <c:pt idx="19">
                    <c:v>tqe10_zxcvbn</c:v>
                  </c:pt>
                  <c:pt idx="20">
                    <c:v>tqe10k_zxcvbn</c:v>
                  </c:pt>
                  <c:pt idx="21">
                    <c:v>guesses_shannon</c:v>
                  </c:pt>
                  <c:pt idx="22">
                    <c:v>tqe10_shannon</c:v>
                  </c:pt>
                  <c:pt idx="23">
                    <c:v>tqe10k_shannon</c:v>
                  </c:pt>
                </c:lvl>
                <c:lvl>
                  <c:pt idx="0">
                    <c:v>Classe 1</c:v>
                  </c:pt>
                  <c:pt idx="6">
                    <c:v>Classe 2</c:v>
                  </c:pt>
                  <c:pt idx="12">
                    <c:v>Classe 3</c:v>
                  </c:pt>
                  <c:pt idx="18">
                    <c:v>Classe 4</c:v>
                  </c:pt>
                </c:lvl>
              </c:multiLvlStrCache>
            </c:multiLvlStrRef>
          </c:cat>
          <c:val>
            <c:numRef>
              <c:f>LastPass!$U$75:$U$98</c:f>
              <c:numCache>
                <c:formatCode>0.00</c:formatCode>
                <c:ptCount val="24"/>
                <c:pt idx="0">
                  <c:v>11.901</c:v>
                </c:pt>
                <c:pt idx="1">
                  <c:v>3.4009999999999998</c:v>
                </c:pt>
                <c:pt idx="2">
                  <c:v>0.40099999999999997</c:v>
                </c:pt>
                <c:pt idx="3">
                  <c:v>16.98</c:v>
                </c:pt>
                <c:pt idx="4">
                  <c:v>8.48</c:v>
                </c:pt>
                <c:pt idx="5">
                  <c:v>5.4800000000000022</c:v>
                </c:pt>
                <c:pt idx="6">
                  <c:v>12</c:v>
                </c:pt>
                <c:pt idx="7">
                  <c:v>3.5</c:v>
                </c:pt>
                <c:pt idx="8">
                  <c:v>0.5</c:v>
                </c:pt>
                <c:pt idx="9">
                  <c:v>20.589999999999993</c:v>
                </c:pt>
                <c:pt idx="10">
                  <c:v>12.090000000000002</c:v>
                </c:pt>
                <c:pt idx="11">
                  <c:v>9.0900000000000016</c:v>
                </c:pt>
                <c:pt idx="12">
                  <c:v>11.946999999999999</c:v>
                </c:pt>
                <c:pt idx="13">
                  <c:v>3.4470000000000001</c:v>
                </c:pt>
                <c:pt idx="14">
                  <c:v>0.44699999999999995</c:v>
                </c:pt>
                <c:pt idx="15">
                  <c:v>22.29999999999999</c:v>
                </c:pt>
                <c:pt idx="16">
                  <c:v>13.8</c:v>
                </c:pt>
                <c:pt idx="17">
                  <c:v>10.8</c:v>
                </c:pt>
                <c:pt idx="18">
                  <c:v>12</c:v>
                </c:pt>
                <c:pt idx="19">
                  <c:v>3.5</c:v>
                </c:pt>
                <c:pt idx="20">
                  <c:v>0.5</c:v>
                </c:pt>
                <c:pt idx="21">
                  <c:v>23.680000000000003</c:v>
                </c:pt>
                <c:pt idx="22">
                  <c:v>15.180000000000003</c:v>
                </c:pt>
                <c:pt idx="23">
                  <c:v>12.180000000000003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21-450E-9EC6-C9EF9F0EE777}"/>
            </c:ext>
          </c:extLst>
        </c:ser>
        <c:ser>
          <c:idx val="4"/>
          <c:order val="4"/>
          <c:tx>
            <c:strRef>
              <c:f>LastPass!$W$74</c:f>
              <c:strCache>
                <c:ptCount val="1"/>
                <c:pt idx="0">
                  <c:v>16 caracteres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LastPass!$Q$75:$R$98</c:f>
              <c:multiLvlStrCache>
                <c:ptCount val="24"/>
                <c:lvl>
                  <c:pt idx="0">
                    <c:v>guesses_zxcvbn</c:v>
                  </c:pt>
                  <c:pt idx="1">
                    <c:v>tqe10_zxcvbn</c:v>
                  </c:pt>
                  <c:pt idx="2">
                    <c:v>tqe10k_zxcvbn</c:v>
                  </c:pt>
                  <c:pt idx="3">
                    <c:v>guesses_shannon</c:v>
                  </c:pt>
                  <c:pt idx="4">
                    <c:v>tqe10_shannon</c:v>
                  </c:pt>
                  <c:pt idx="5">
                    <c:v>tqe10k_shannon</c:v>
                  </c:pt>
                  <c:pt idx="6">
                    <c:v>guesses_zxcvbn</c:v>
                  </c:pt>
                  <c:pt idx="7">
                    <c:v>tqe10_zxcvbn</c:v>
                  </c:pt>
                  <c:pt idx="8">
                    <c:v>tqe10k_zxcvbn</c:v>
                  </c:pt>
                  <c:pt idx="9">
                    <c:v>guesses_shannon</c:v>
                  </c:pt>
                  <c:pt idx="10">
                    <c:v>tqe10_shannon</c:v>
                  </c:pt>
                  <c:pt idx="11">
                    <c:v>tqe10k_shannon</c:v>
                  </c:pt>
                  <c:pt idx="12">
                    <c:v>guesses_zxcvbn</c:v>
                  </c:pt>
                  <c:pt idx="13">
                    <c:v>tqe10_zxcvbn</c:v>
                  </c:pt>
                  <c:pt idx="14">
                    <c:v>tqe10k_zxcvbn</c:v>
                  </c:pt>
                  <c:pt idx="15">
                    <c:v>guesses_shannon</c:v>
                  </c:pt>
                  <c:pt idx="16">
                    <c:v>tqe10_shannon</c:v>
                  </c:pt>
                  <c:pt idx="17">
                    <c:v>tqe10k_shannon</c:v>
                  </c:pt>
                  <c:pt idx="18">
                    <c:v>guesses_zxcvbn</c:v>
                  </c:pt>
                  <c:pt idx="19">
                    <c:v>tqe10_zxcvbn</c:v>
                  </c:pt>
                  <c:pt idx="20">
                    <c:v>tqe10k_zxcvbn</c:v>
                  </c:pt>
                  <c:pt idx="21">
                    <c:v>guesses_shannon</c:v>
                  </c:pt>
                  <c:pt idx="22">
                    <c:v>tqe10_shannon</c:v>
                  </c:pt>
                  <c:pt idx="23">
                    <c:v>tqe10k_shannon</c:v>
                  </c:pt>
                </c:lvl>
                <c:lvl>
                  <c:pt idx="0">
                    <c:v>Classe 1</c:v>
                  </c:pt>
                  <c:pt idx="6">
                    <c:v>Classe 2</c:v>
                  </c:pt>
                  <c:pt idx="12">
                    <c:v>Classe 3</c:v>
                  </c:pt>
                  <c:pt idx="18">
                    <c:v>Classe 4</c:v>
                  </c:pt>
                </c:lvl>
              </c:multiLvlStrCache>
            </c:multiLvlStrRef>
          </c:cat>
          <c:val>
            <c:numRef>
              <c:f>LastPass!$W$75:$W$98</c:f>
              <c:numCache>
                <c:formatCode>0.00</c:formatCode>
                <c:ptCount val="24"/>
                <c:pt idx="0">
                  <c:v>15.9055</c:v>
                </c:pt>
                <c:pt idx="1">
                  <c:v>7.4054999999999991</c:v>
                </c:pt>
                <c:pt idx="2">
                  <c:v>4.4055</c:v>
                </c:pt>
                <c:pt idx="3">
                  <c:v>22.639999999999993</c:v>
                </c:pt>
                <c:pt idx="4">
                  <c:v>14.139999999999995</c:v>
                </c:pt>
                <c:pt idx="5">
                  <c:v>11.139999999999995</c:v>
                </c:pt>
                <c:pt idx="6">
                  <c:v>15.897499999999999</c:v>
                </c:pt>
                <c:pt idx="7">
                  <c:v>7.3974999999999991</c:v>
                </c:pt>
                <c:pt idx="8">
                  <c:v>4.3975</c:v>
                </c:pt>
                <c:pt idx="9">
                  <c:v>27.459999999999997</c:v>
                </c:pt>
                <c:pt idx="10">
                  <c:v>18.959999999999997</c:v>
                </c:pt>
                <c:pt idx="11">
                  <c:v>15.960000000000003</c:v>
                </c:pt>
                <c:pt idx="12">
                  <c:v>15.972</c:v>
                </c:pt>
                <c:pt idx="13">
                  <c:v>7.4719999999999995</c:v>
                </c:pt>
                <c:pt idx="14">
                  <c:v>4.4719999999999995</c:v>
                </c:pt>
                <c:pt idx="15">
                  <c:v>29.735000000000003</c:v>
                </c:pt>
                <c:pt idx="16">
                  <c:v>21.235000000000007</c:v>
                </c:pt>
                <c:pt idx="17">
                  <c:v>18.235000000000007</c:v>
                </c:pt>
                <c:pt idx="18">
                  <c:v>16</c:v>
                </c:pt>
                <c:pt idx="19">
                  <c:v>7.5</c:v>
                </c:pt>
                <c:pt idx="20">
                  <c:v>4.5</c:v>
                </c:pt>
                <c:pt idx="21">
                  <c:v>31.570000000000004</c:v>
                </c:pt>
                <c:pt idx="22">
                  <c:v>23.069999999999997</c:v>
                </c:pt>
                <c:pt idx="23">
                  <c:v>20.069999999999997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21-450E-9EC6-C9EF9F0EE7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732946975"/>
        <c:axId val="17954561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LastPass!$T$74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LastPass!$Q$75:$R$98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guesses_zxcvbn</c:v>
                        </c:pt>
                        <c:pt idx="1">
                          <c:v>tqe10_zxcvbn</c:v>
                        </c:pt>
                        <c:pt idx="2">
                          <c:v>tqe10k_zxcvbn</c:v>
                        </c:pt>
                        <c:pt idx="3">
                          <c:v>guesses_shannon</c:v>
                        </c:pt>
                        <c:pt idx="4">
                          <c:v>tqe10_shannon</c:v>
                        </c:pt>
                        <c:pt idx="5">
                          <c:v>tqe10k_shannon</c:v>
                        </c:pt>
                        <c:pt idx="6">
                          <c:v>guesses_zxcvbn</c:v>
                        </c:pt>
                        <c:pt idx="7">
                          <c:v>tqe10_zxcvbn</c:v>
                        </c:pt>
                        <c:pt idx="8">
                          <c:v>tqe10k_zxcvbn</c:v>
                        </c:pt>
                        <c:pt idx="9">
                          <c:v>guesses_shannon</c:v>
                        </c:pt>
                        <c:pt idx="10">
                          <c:v>tqe10_shannon</c:v>
                        </c:pt>
                        <c:pt idx="11">
                          <c:v>tqe10k_shannon</c:v>
                        </c:pt>
                        <c:pt idx="12">
                          <c:v>guesses_zxcvbn</c:v>
                        </c:pt>
                        <c:pt idx="13">
                          <c:v>tqe10_zxcvbn</c:v>
                        </c:pt>
                        <c:pt idx="14">
                          <c:v>tqe10k_zxcvbn</c:v>
                        </c:pt>
                        <c:pt idx="15">
                          <c:v>guesses_shannon</c:v>
                        </c:pt>
                        <c:pt idx="16">
                          <c:v>tqe10_shannon</c:v>
                        </c:pt>
                        <c:pt idx="17">
                          <c:v>tqe10k_shannon</c:v>
                        </c:pt>
                        <c:pt idx="18">
                          <c:v>guesses_zxcvbn</c:v>
                        </c:pt>
                        <c:pt idx="19">
                          <c:v>tqe10_zxcvbn</c:v>
                        </c:pt>
                        <c:pt idx="20">
                          <c:v>tqe10k_zxcvbn</c:v>
                        </c:pt>
                        <c:pt idx="21">
                          <c:v>guesses_shannon</c:v>
                        </c:pt>
                        <c:pt idx="22">
                          <c:v>tqe10_shannon</c:v>
                        </c:pt>
                        <c:pt idx="23">
                          <c:v>tqe10k_shannon</c:v>
                        </c:pt>
                      </c:lvl>
                      <c:lvl>
                        <c:pt idx="0">
                          <c:v>Classe 1</c:v>
                        </c:pt>
                        <c:pt idx="6">
                          <c:v>Classe 2</c:v>
                        </c:pt>
                        <c:pt idx="12">
                          <c:v>Classe 3</c:v>
                        </c:pt>
                        <c:pt idx="18">
                          <c:v>Classe 4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LastPass!$T$75:$T$98</c15:sqref>
                        </c15:formulaRef>
                      </c:ext>
                    </c:extLst>
                    <c:numCache>
                      <c:formatCode>0.00</c:formatCode>
                      <c:ptCount val="2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221-450E-9EC6-C9EF9F0EE77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LastPass!$V$74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LastPass!$Q$75:$R$98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guesses_zxcvbn</c:v>
                        </c:pt>
                        <c:pt idx="1">
                          <c:v>tqe10_zxcvbn</c:v>
                        </c:pt>
                        <c:pt idx="2">
                          <c:v>tqe10k_zxcvbn</c:v>
                        </c:pt>
                        <c:pt idx="3">
                          <c:v>guesses_shannon</c:v>
                        </c:pt>
                        <c:pt idx="4">
                          <c:v>tqe10_shannon</c:v>
                        </c:pt>
                        <c:pt idx="5">
                          <c:v>tqe10k_shannon</c:v>
                        </c:pt>
                        <c:pt idx="6">
                          <c:v>guesses_zxcvbn</c:v>
                        </c:pt>
                        <c:pt idx="7">
                          <c:v>tqe10_zxcvbn</c:v>
                        </c:pt>
                        <c:pt idx="8">
                          <c:v>tqe10k_zxcvbn</c:v>
                        </c:pt>
                        <c:pt idx="9">
                          <c:v>guesses_shannon</c:v>
                        </c:pt>
                        <c:pt idx="10">
                          <c:v>tqe10_shannon</c:v>
                        </c:pt>
                        <c:pt idx="11">
                          <c:v>tqe10k_shannon</c:v>
                        </c:pt>
                        <c:pt idx="12">
                          <c:v>guesses_zxcvbn</c:v>
                        </c:pt>
                        <c:pt idx="13">
                          <c:v>tqe10_zxcvbn</c:v>
                        </c:pt>
                        <c:pt idx="14">
                          <c:v>tqe10k_zxcvbn</c:v>
                        </c:pt>
                        <c:pt idx="15">
                          <c:v>guesses_shannon</c:v>
                        </c:pt>
                        <c:pt idx="16">
                          <c:v>tqe10_shannon</c:v>
                        </c:pt>
                        <c:pt idx="17">
                          <c:v>tqe10k_shannon</c:v>
                        </c:pt>
                        <c:pt idx="18">
                          <c:v>guesses_zxcvbn</c:v>
                        </c:pt>
                        <c:pt idx="19">
                          <c:v>tqe10_zxcvbn</c:v>
                        </c:pt>
                        <c:pt idx="20">
                          <c:v>tqe10k_zxcvbn</c:v>
                        </c:pt>
                        <c:pt idx="21">
                          <c:v>guesses_shannon</c:v>
                        </c:pt>
                        <c:pt idx="22">
                          <c:v>tqe10_shannon</c:v>
                        </c:pt>
                        <c:pt idx="23">
                          <c:v>tqe10k_shannon</c:v>
                        </c:pt>
                      </c:lvl>
                      <c:lvl>
                        <c:pt idx="0">
                          <c:v>Classe 1</c:v>
                        </c:pt>
                        <c:pt idx="6">
                          <c:v>Classe 2</c:v>
                        </c:pt>
                        <c:pt idx="12">
                          <c:v>Classe 3</c:v>
                        </c:pt>
                        <c:pt idx="18">
                          <c:v>Classe 4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LastPass!$V$75:$V$98</c15:sqref>
                        </c15:formulaRef>
                      </c:ext>
                    </c:extLst>
                    <c:numCache>
                      <c:formatCode>0.00</c:formatCode>
                      <c:ptCount val="2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221-450E-9EC6-C9EF9F0EE777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LastPass!$X$74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LastPass!$Q$75:$R$98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guesses_zxcvbn</c:v>
                        </c:pt>
                        <c:pt idx="1">
                          <c:v>tqe10_zxcvbn</c:v>
                        </c:pt>
                        <c:pt idx="2">
                          <c:v>tqe10k_zxcvbn</c:v>
                        </c:pt>
                        <c:pt idx="3">
                          <c:v>guesses_shannon</c:v>
                        </c:pt>
                        <c:pt idx="4">
                          <c:v>tqe10_shannon</c:v>
                        </c:pt>
                        <c:pt idx="5">
                          <c:v>tqe10k_shannon</c:v>
                        </c:pt>
                        <c:pt idx="6">
                          <c:v>guesses_zxcvbn</c:v>
                        </c:pt>
                        <c:pt idx="7">
                          <c:v>tqe10_zxcvbn</c:v>
                        </c:pt>
                        <c:pt idx="8">
                          <c:v>tqe10k_zxcvbn</c:v>
                        </c:pt>
                        <c:pt idx="9">
                          <c:v>guesses_shannon</c:v>
                        </c:pt>
                        <c:pt idx="10">
                          <c:v>tqe10_shannon</c:v>
                        </c:pt>
                        <c:pt idx="11">
                          <c:v>tqe10k_shannon</c:v>
                        </c:pt>
                        <c:pt idx="12">
                          <c:v>guesses_zxcvbn</c:v>
                        </c:pt>
                        <c:pt idx="13">
                          <c:v>tqe10_zxcvbn</c:v>
                        </c:pt>
                        <c:pt idx="14">
                          <c:v>tqe10k_zxcvbn</c:v>
                        </c:pt>
                        <c:pt idx="15">
                          <c:v>guesses_shannon</c:v>
                        </c:pt>
                        <c:pt idx="16">
                          <c:v>tqe10_shannon</c:v>
                        </c:pt>
                        <c:pt idx="17">
                          <c:v>tqe10k_shannon</c:v>
                        </c:pt>
                        <c:pt idx="18">
                          <c:v>guesses_zxcvbn</c:v>
                        </c:pt>
                        <c:pt idx="19">
                          <c:v>tqe10_zxcvbn</c:v>
                        </c:pt>
                        <c:pt idx="20">
                          <c:v>tqe10k_zxcvbn</c:v>
                        </c:pt>
                        <c:pt idx="21">
                          <c:v>guesses_shannon</c:v>
                        </c:pt>
                        <c:pt idx="22">
                          <c:v>tqe10_shannon</c:v>
                        </c:pt>
                        <c:pt idx="23">
                          <c:v>tqe10k_shannon</c:v>
                        </c:pt>
                      </c:lvl>
                      <c:lvl>
                        <c:pt idx="0">
                          <c:v>Classe 1</c:v>
                        </c:pt>
                        <c:pt idx="6">
                          <c:v>Classe 2</c:v>
                        </c:pt>
                        <c:pt idx="12">
                          <c:v>Classe 3</c:v>
                        </c:pt>
                        <c:pt idx="18">
                          <c:v>Classe 4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LastPass!$X$75:$X$98</c15:sqref>
                        </c15:formulaRef>
                      </c:ext>
                    </c:extLst>
                    <c:numCache>
                      <c:formatCode>0.00</c:formatCode>
                      <c:ptCount val="2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221-450E-9EC6-C9EF9F0EE777}"/>
                  </c:ext>
                </c:extLst>
              </c15:ser>
            </c15:filteredBarSeries>
          </c:ext>
        </c:extLst>
      </c:barChart>
      <c:catAx>
        <c:axId val="7329469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545615"/>
        <c:crossesAt val="-5"/>
        <c:auto val="1"/>
        <c:lblAlgn val="ctr"/>
        <c:lblOffset val="100"/>
        <c:noMultiLvlLbl val="0"/>
      </c:catAx>
      <c:valAx>
        <c:axId val="179545615"/>
        <c:scaling>
          <c:orientation val="minMax"/>
          <c:min val="-5"/>
        </c:scaling>
        <c:delete val="0"/>
        <c:axPos val="t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294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LastPass!$R$101</c:f>
              <c:strCache>
                <c:ptCount val="1"/>
                <c:pt idx="0">
                  <c:v>Classe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LastPass!$S$100:$X$100</c15:sqref>
                  </c15:fullRef>
                </c:ext>
              </c:extLst>
              <c:f>(LastPass!$S$100,LastPass!$U$100,LastPass!$W$100)</c:f>
              <c:strCache>
                <c:ptCount val="3"/>
                <c:pt idx="0">
                  <c:v>8 caracteres</c:v>
                </c:pt>
                <c:pt idx="1">
                  <c:v>12 caracteres</c:v>
                </c:pt>
                <c:pt idx="2">
                  <c:v>16 caracteres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LastPass!$S$101:$X$101</c15:sqref>
                  </c15:fullRef>
                </c:ext>
              </c:extLst>
              <c:f>(LastPass!$S$101,LastPass!$U$101,LastPass!$W$101)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9-4C09-8B13-11B07D253B26}"/>
            </c:ext>
          </c:extLst>
        </c:ser>
        <c:ser>
          <c:idx val="1"/>
          <c:order val="1"/>
          <c:tx>
            <c:strRef>
              <c:f>LastPass!$R$102</c:f>
              <c:strCache>
                <c:ptCount val="1"/>
                <c:pt idx="0">
                  <c:v>Classe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LastPass!$S$100:$X$100</c15:sqref>
                  </c15:fullRef>
                </c:ext>
              </c:extLst>
              <c:f>(LastPass!$S$100,LastPass!$U$100,LastPass!$W$100)</c:f>
              <c:strCache>
                <c:ptCount val="3"/>
                <c:pt idx="0">
                  <c:v>8 caracteres</c:v>
                </c:pt>
                <c:pt idx="1">
                  <c:v>12 caracteres</c:v>
                </c:pt>
                <c:pt idx="2">
                  <c:v>16 caracteres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LastPass!$S$102:$X$102</c15:sqref>
                  </c15:fullRef>
                </c:ext>
              </c:extLst>
              <c:f>(LastPass!$S$102,LastPass!$U$102,LastPass!$W$102)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C9-4C09-8B13-11B07D253B26}"/>
            </c:ext>
          </c:extLst>
        </c:ser>
        <c:ser>
          <c:idx val="2"/>
          <c:order val="2"/>
          <c:tx>
            <c:strRef>
              <c:f>LastPass!$R$103</c:f>
              <c:strCache>
                <c:ptCount val="1"/>
                <c:pt idx="0">
                  <c:v>Classe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LastPass!$S$100:$X$100</c15:sqref>
                  </c15:fullRef>
                </c:ext>
              </c:extLst>
              <c:f>(LastPass!$S$100,LastPass!$U$100,LastPass!$W$100)</c:f>
              <c:strCache>
                <c:ptCount val="3"/>
                <c:pt idx="0">
                  <c:v>8 caracteres</c:v>
                </c:pt>
                <c:pt idx="1">
                  <c:v>12 caracteres</c:v>
                </c:pt>
                <c:pt idx="2">
                  <c:v>16 caracteres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LastPass!$S$103:$X$103</c15:sqref>
                  </c15:fullRef>
                </c:ext>
              </c:extLst>
              <c:f>(LastPass!$S$103,LastPass!$U$103,LastPass!$W$103)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C9-4C09-8B13-11B07D253B26}"/>
            </c:ext>
          </c:extLst>
        </c:ser>
        <c:ser>
          <c:idx val="3"/>
          <c:order val="3"/>
          <c:tx>
            <c:strRef>
              <c:f>LastPass!$R$104</c:f>
              <c:strCache>
                <c:ptCount val="1"/>
                <c:pt idx="0">
                  <c:v>Classe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LastPass!$S$100:$X$100</c15:sqref>
                  </c15:fullRef>
                </c:ext>
              </c:extLst>
              <c:f>(LastPass!$S$100,LastPass!$U$100,LastPass!$W$100)</c:f>
              <c:strCache>
                <c:ptCount val="3"/>
                <c:pt idx="0">
                  <c:v>8 caracteres</c:v>
                </c:pt>
                <c:pt idx="1">
                  <c:v>12 caracteres</c:v>
                </c:pt>
                <c:pt idx="2">
                  <c:v>16 caracteres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LastPass!$S$104:$X$104</c15:sqref>
                  </c15:fullRef>
                </c:ext>
              </c:extLst>
              <c:f>(LastPass!$S$104,LastPass!$U$104,LastPass!$W$104)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C9-4C09-8B13-11B07D253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3813168"/>
        <c:axId val="1894401136"/>
      </c:barChart>
      <c:catAx>
        <c:axId val="179381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4401136"/>
        <c:crosses val="autoZero"/>
        <c:auto val="1"/>
        <c:lblAlgn val="ctr"/>
        <c:lblOffset val="100"/>
        <c:noMultiLvlLbl val="0"/>
      </c:catAx>
      <c:valAx>
        <c:axId val="189440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381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NordPass!$S$74</c:f>
              <c:strCache>
                <c:ptCount val="1"/>
                <c:pt idx="0">
                  <c:v>8 caracteres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NordPass!$Q$75:$R$98</c:f>
              <c:multiLvlStrCache>
                <c:ptCount val="24"/>
                <c:lvl>
                  <c:pt idx="0">
                    <c:v>guesses_zxcvbn</c:v>
                  </c:pt>
                  <c:pt idx="1">
                    <c:v>tqe10_zxcvbn</c:v>
                  </c:pt>
                  <c:pt idx="2">
                    <c:v>tqe10k_zxcvbn</c:v>
                  </c:pt>
                  <c:pt idx="3">
                    <c:v>guesses_shannon</c:v>
                  </c:pt>
                  <c:pt idx="4">
                    <c:v>tqe10_shannon</c:v>
                  </c:pt>
                  <c:pt idx="5">
                    <c:v>tqe10k_shannon</c:v>
                  </c:pt>
                  <c:pt idx="6">
                    <c:v>guesses_zxcvbn</c:v>
                  </c:pt>
                  <c:pt idx="7">
                    <c:v>tqe10_zxcvbn</c:v>
                  </c:pt>
                  <c:pt idx="8">
                    <c:v>tqe10k_zxcvbn</c:v>
                  </c:pt>
                  <c:pt idx="9">
                    <c:v>guesses_shannon</c:v>
                  </c:pt>
                  <c:pt idx="10">
                    <c:v>tqe10_shannon</c:v>
                  </c:pt>
                  <c:pt idx="11">
                    <c:v>tqe10k_shannon</c:v>
                  </c:pt>
                  <c:pt idx="12">
                    <c:v>guesses_zxcvbn</c:v>
                  </c:pt>
                  <c:pt idx="13">
                    <c:v>tqe10_zxcvbn</c:v>
                  </c:pt>
                  <c:pt idx="14">
                    <c:v>tqe10k_zxcvbn</c:v>
                  </c:pt>
                  <c:pt idx="15">
                    <c:v>guesses_shannon</c:v>
                  </c:pt>
                  <c:pt idx="16">
                    <c:v>tqe10_shannon</c:v>
                  </c:pt>
                  <c:pt idx="17">
                    <c:v>tqe10k_shannon</c:v>
                  </c:pt>
                  <c:pt idx="18">
                    <c:v>guesses_zxcvbn</c:v>
                  </c:pt>
                  <c:pt idx="19">
                    <c:v>tqe10_zxcvbn</c:v>
                  </c:pt>
                  <c:pt idx="20">
                    <c:v>tqe10k_zxcvbn</c:v>
                  </c:pt>
                  <c:pt idx="21">
                    <c:v>guesses_shannon</c:v>
                  </c:pt>
                  <c:pt idx="22">
                    <c:v>tqe10_shannon</c:v>
                  </c:pt>
                  <c:pt idx="23">
                    <c:v>tqe10k_shannon</c:v>
                  </c:pt>
                </c:lvl>
                <c:lvl>
                  <c:pt idx="0">
                    <c:v>Classe 1</c:v>
                  </c:pt>
                  <c:pt idx="6">
                    <c:v>Classe 2</c:v>
                  </c:pt>
                  <c:pt idx="12">
                    <c:v>Classe 3</c:v>
                  </c:pt>
                  <c:pt idx="18">
                    <c:v>Classe 4</c:v>
                  </c:pt>
                </c:lvl>
              </c:multiLvlStrCache>
            </c:multiLvlStrRef>
          </c:cat>
          <c:val>
            <c:numRef>
              <c:f>NordPass!$S$75:$S$98</c:f>
              <c:numCache>
                <c:formatCode>0.00</c:formatCode>
                <c:ptCount val="24"/>
                <c:pt idx="0">
                  <c:v>7.9969999999999999</c:v>
                </c:pt>
                <c:pt idx="1">
                  <c:v>-0.503</c:v>
                </c:pt>
                <c:pt idx="2">
                  <c:v>-3.5030000000000001</c:v>
                </c:pt>
                <c:pt idx="3">
                  <c:v>11.319999999999997</c:v>
                </c:pt>
                <c:pt idx="4">
                  <c:v>2.82</c:v>
                </c:pt>
                <c:pt idx="5">
                  <c:v>-0.18000000000000005</c:v>
                </c:pt>
                <c:pt idx="6">
                  <c:v>8</c:v>
                </c:pt>
                <c:pt idx="7">
                  <c:v>-0.5</c:v>
                </c:pt>
                <c:pt idx="8">
                  <c:v>-3.5</c:v>
                </c:pt>
                <c:pt idx="9">
                  <c:v>13.729999999999999</c:v>
                </c:pt>
                <c:pt idx="10">
                  <c:v>5.2300000000000022</c:v>
                </c:pt>
                <c:pt idx="11">
                  <c:v>2.2299999999999995</c:v>
                </c:pt>
                <c:pt idx="12">
                  <c:v>8</c:v>
                </c:pt>
                <c:pt idx="13">
                  <c:v>-0.5</c:v>
                </c:pt>
                <c:pt idx="14">
                  <c:v>-3.5</c:v>
                </c:pt>
                <c:pt idx="15">
                  <c:v>14.917499999999993</c:v>
                </c:pt>
                <c:pt idx="16">
                  <c:v>6.4230000000000018</c:v>
                </c:pt>
                <c:pt idx="17">
                  <c:v>3.4229999999999996</c:v>
                </c:pt>
                <c:pt idx="18">
                  <c:v>8</c:v>
                </c:pt>
                <c:pt idx="19">
                  <c:v>-0.5</c:v>
                </c:pt>
                <c:pt idx="20">
                  <c:v>-3.5</c:v>
                </c:pt>
                <c:pt idx="21">
                  <c:v>15.789999999999997</c:v>
                </c:pt>
                <c:pt idx="22">
                  <c:v>7.2900000000000018</c:v>
                </c:pt>
                <c:pt idx="23">
                  <c:v>4.2900000000000009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F-445B-A8A1-31E15F2706EA}"/>
            </c:ext>
          </c:extLst>
        </c:ser>
        <c:ser>
          <c:idx val="2"/>
          <c:order val="2"/>
          <c:tx>
            <c:strRef>
              <c:f>NordPass!$U$74</c:f>
              <c:strCache>
                <c:ptCount val="1"/>
                <c:pt idx="0">
                  <c:v>12 caracteres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NordPass!$Q$75:$R$98</c:f>
              <c:multiLvlStrCache>
                <c:ptCount val="24"/>
                <c:lvl>
                  <c:pt idx="0">
                    <c:v>guesses_zxcvbn</c:v>
                  </c:pt>
                  <c:pt idx="1">
                    <c:v>tqe10_zxcvbn</c:v>
                  </c:pt>
                  <c:pt idx="2">
                    <c:v>tqe10k_zxcvbn</c:v>
                  </c:pt>
                  <c:pt idx="3">
                    <c:v>guesses_shannon</c:v>
                  </c:pt>
                  <c:pt idx="4">
                    <c:v>tqe10_shannon</c:v>
                  </c:pt>
                  <c:pt idx="5">
                    <c:v>tqe10k_shannon</c:v>
                  </c:pt>
                  <c:pt idx="6">
                    <c:v>guesses_zxcvbn</c:v>
                  </c:pt>
                  <c:pt idx="7">
                    <c:v>tqe10_zxcvbn</c:v>
                  </c:pt>
                  <c:pt idx="8">
                    <c:v>tqe10k_zxcvbn</c:v>
                  </c:pt>
                  <c:pt idx="9">
                    <c:v>guesses_shannon</c:v>
                  </c:pt>
                  <c:pt idx="10">
                    <c:v>tqe10_shannon</c:v>
                  </c:pt>
                  <c:pt idx="11">
                    <c:v>tqe10k_shannon</c:v>
                  </c:pt>
                  <c:pt idx="12">
                    <c:v>guesses_zxcvbn</c:v>
                  </c:pt>
                  <c:pt idx="13">
                    <c:v>tqe10_zxcvbn</c:v>
                  </c:pt>
                  <c:pt idx="14">
                    <c:v>tqe10k_zxcvbn</c:v>
                  </c:pt>
                  <c:pt idx="15">
                    <c:v>guesses_shannon</c:v>
                  </c:pt>
                  <c:pt idx="16">
                    <c:v>tqe10_shannon</c:v>
                  </c:pt>
                  <c:pt idx="17">
                    <c:v>tqe10k_shannon</c:v>
                  </c:pt>
                  <c:pt idx="18">
                    <c:v>guesses_zxcvbn</c:v>
                  </c:pt>
                  <c:pt idx="19">
                    <c:v>tqe10_zxcvbn</c:v>
                  </c:pt>
                  <c:pt idx="20">
                    <c:v>tqe10k_zxcvbn</c:v>
                  </c:pt>
                  <c:pt idx="21">
                    <c:v>guesses_shannon</c:v>
                  </c:pt>
                  <c:pt idx="22">
                    <c:v>tqe10_shannon</c:v>
                  </c:pt>
                  <c:pt idx="23">
                    <c:v>tqe10k_shannon</c:v>
                  </c:pt>
                </c:lvl>
                <c:lvl>
                  <c:pt idx="0">
                    <c:v>Classe 1</c:v>
                  </c:pt>
                  <c:pt idx="6">
                    <c:v>Classe 2</c:v>
                  </c:pt>
                  <c:pt idx="12">
                    <c:v>Classe 3</c:v>
                  </c:pt>
                  <c:pt idx="18">
                    <c:v>Classe 4</c:v>
                  </c:pt>
                </c:lvl>
              </c:multiLvlStrCache>
            </c:multiLvlStrRef>
          </c:cat>
          <c:val>
            <c:numRef>
              <c:f>NordPass!$U$75:$U$98</c:f>
              <c:numCache>
                <c:formatCode>0.00</c:formatCode>
                <c:ptCount val="24"/>
                <c:pt idx="0">
                  <c:v>11.909000000000001</c:v>
                </c:pt>
                <c:pt idx="1">
                  <c:v>3.4095</c:v>
                </c:pt>
                <c:pt idx="2">
                  <c:v>0.40949999999999998</c:v>
                </c:pt>
                <c:pt idx="3">
                  <c:v>16.98</c:v>
                </c:pt>
                <c:pt idx="4">
                  <c:v>8.48</c:v>
                </c:pt>
                <c:pt idx="5">
                  <c:v>5.4800000000000022</c:v>
                </c:pt>
                <c:pt idx="6">
                  <c:v>12</c:v>
                </c:pt>
                <c:pt idx="7">
                  <c:v>3.5</c:v>
                </c:pt>
                <c:pt idx="8">
                  <c:v>0.5</c:v>
                </c:pt>
                <c:pt idx="9">
                  <c:v>20.589999999999993</c:v>
                </c:pt>
                <c:pt idx="10">
                  <c:v>12.090000000000002</c:v>
                </c:pt>
                <c:pt idx="11">
                  <c:v>9.0900000000000016</c:v>
                </c:pt>
                <c:pt idx="12">
                  <c:v>11.95</c:v>
                </c:pt>
                <c:pt idx="13">
                  <c:v>3.45</c:v>
                </c:pt>
                <c:pt idx="14">
                  <c:v>0.45</c:v>
                </c:pt>
                <c:pt idx="15">
                  <c:v>22.299999999999997</c:v>
                </c:pt>
                <c:pt idx="16">
                  <c:v>13.799999999999997</c:v>
                </c:pt>
                <c:pt idx="17">
                  <c:v>10.799999999999997</c:v>
                </c:pt>
                <c:pt idx="18">
                  <c:v>12</c:v>
                </c:pt>
                <c:pt idx="19">
                  <c:v>3.5</c:v>
                </c:pt>
                <c:pt idx="20">
                  <c:v>0.5</c:v>
                </c:pt>
                <c:pt idx="21">
                  <c:v>23.680000000000003</c:v>
                </c:pt>
                <c:pt idx="22">
                  <c:v>15.180000000000003</c:v>
                </c:pt>
                <c:pt idx="23">
                  <c:v>12.180000000000003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3F-445B-A8A1-31E15F2706EA}"/>
            </c:ext>
          </c:extLst>
        </c:ser>
        <c:ser>
          <c:idx val="4"/>
          <c:order val="4"/>
          <c:tx>
            <c:strRef>
              <c:f>NordPass!$W$74</c:f>
              <c:strCache>
                <c:ptCount val="1"/>
                <c:pt idx="0">
                  <c:v>16 caracteres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NordPass!$Q$75:$R$98</c:f>
              <c:multiLvlStrCache>
                <c:ptCount val="24"/>
                <c:lvl>
                  <c:pt idx="0">
                    <c:v>guesses_zxcvbn</c:v>
                  </c:pt>
                  <c:pt idx="1">
                    <c:v>tqe10_zxcvbn</c:v>
                  </c:pt>
                  <c:pt idx="2">
                    <c:v>tqe10k_zxcvbn</c:v>
                  </c:pt>
                  <c:pt idx="3">
                    <c:v>guesses_shannon</c:v>
                  </c:pt>
                  <c:pt idx="4">
                    <c:v>tqe10_shannon</c:v>
                  </c:pt>
                  <c:pt idx="5">
                    <c:v>tqe10k_shannon</c:v>
                  </c:pt>
                  <c:pt idx="6">
                    <c:v>guesses_zxcvbn</c:v>
                  </c:pt>
                  <c:pt idx="7">
                    <c:v>tqe10_zxcvbn</c:v>
                  </c:pt>
                  <c:pt idx="8">
                    <c:v>tqe10k_zxcvbn</c:v>
                  </c:pt>
                  <c:pt idx="9">
                    <c:v>guesses_shannon</c:v>
                  </c:pt>
                  <c:pt idx="10">
                    <c:v>tqe10_shannon</c:v>
                  </c:pt>
                  <c:pt idx="11">
                    <c:v>tqe10k_shannon</c:v>
                  </c:pt>
                  <c:pt idx="12">
                    <c:v>guesses_zxcvbn</c:v>
                  </c:pt>
                  <c:pt idx="13">
                    <c:v>tqe10_zxcvbn</c:v>
                  </c:pt>
                  <c:pt idx="14">
                    <c:v>tqe10k_zxcvbn</c:v>
                  </c:pt>
                  <c:pt idx="15">
                    <c:v>guesses_shannon</c:v>
                  </c:pt>
                  <c:pt idx="16">
                    <c:v>tqe10_shannon</c:v>
                  </c:pt>
                  <c:pt idx="17">
                    <c:v>tqe10k_shannon</c:v>
                  </c:pt>
                  <c:pt idx="18">
                    <c:v>guesses_zxcvbn</c:v>
                  </c:pt>
                  <c:pt idx="19">
                    <c:v>tqe10_zxcvbn</c:v>
                  </c:pt>
                  <c:pt idx="20">
                    <c:v>tqe10k_zxcvbn</c:v>
                  </c:pt>
                  <c:pt idx="21">
                    <c:v>guesses_shannon</c:v>
                  </c:pt>
                  <c:pt idx="22">
                    <c:v>tqe10_shannon</c:v>
                  </c:pt>
                  <c:pt idx="23">
                    <c:v>tqe10k_shannon</c:v>
                  </c:pt>
                </c:lvl>
                <c:lvl>
                  <c:pt idx="0">
                    <c:v>Classe 1</c:v>
                  </c:pt>
                  <c:pt idx="6">
                    <c:v>Classe 2</c:v>
                  </c:pt>
                  <c:pt idx="12">
                    <c:v>Classe 3</c:v>
                  </c:pt>
                  <c:pt idx="18">
                    <c:v>Classe 4</c:v>
                  </c:pt>
                </c:lvl>
              </c:multiLvlStrCache>
            </c:multiLvlStrRef>
          </c:cat>
          <c:val>
            <c:numRef>
              <c:f>NordPass!$W$75:$W$98</c:f>
              <c:numCache>
                <c:formatCode>0.00</c:formatCode>
                <c:ptCount val="24"/>
                <c:pt idx="0">
                  <c:v>15.957999999999998</c:v>
                </c:pt>
                <c:pt idx="1">
                  <c:v>7.4580000000000002</c:v>
                </c:pt>
                <c:pt idx="2">
                  <c:v>4.4580000000000002</c:v>
                </c:pt>
                <c:pt idx="3">
                  <c:v>22.639999999999993</c:v>
                </c:pt>
                <c:pt idx="4">
                  <c:v>14.139999999999995</c:v>
                </c:pt>
                <c:pt idx="5">
                  <c:v>11.139999999999995</c:v>
                </c:pt>
                <c:pt idx="6">
                  <c:v>15.972</c:v>
                </c:pt>
                <c:pt idx="7">
                  <c:v>7.4719999999999995</c:v>
                </c:pt>
                <c:pt idx="8">
                  <c:v>4.4719999999999995</c:v>
                </c:pt>
                <c:pt idx="9">
                  <c:v>27.459999999999997</c:v>
                </c:pt>
                <c:pt idx="10">
                  <c:v>18.959999999999997</c:v>
                </c:pt>
                <c:pt idx="11">
                  <c:v>15.960000000000003</c:v>
                </c:pt>
                <c:pt idx="12">
                  <c:v>16</c:v>
                </c:pt>
                <c:pt idx="13">
                  <c:v>7.5</c:v>
                </c:pt>
                <c:pt idx="14">
                  <c:v>4.5</c:v>
                </c:pt>
                <c:pt idx="15">
                  <c:v>29.735000000000003</c:v>
                </c:pt>
                <c:pt idx="16">
                  <c:v>21.235000000000007</c:v>
                </c:pt>
                <c:pt idx="17">
                  <c:v>18.235000000000007</c:v>
                </c:pt>
                <c:pt idx="18">
                  <c:v>15.978999999999999</c:v>
                </c:pt>
                <c:pt idx="19">
                  <c:v>7.4789999999999992</c:v>
                </c:pt>
                <c:pt idx="20">
                  <c:v>4.4790000000000001</c:v>
                </c:pt>
                <c:pt idx="21">
                  <c:v>31.570000000000004</c:v>
                </c:pt>
                <c:pt idx="22">
                  <c:v>23.069999999999997</c:v>
                </c:pt>
                <c:pt idx="23">
                  <c:v>20.069999999999997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3F-445B-A8A1-31E15F2706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732946975"/>
        <c:axId val="17954561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NordPass!$T$74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NordPass!$Q$75:$R$98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guesses_zxcvbn</c:v>
                        </c:pt>
                        <c:pt idx="1">
                          <c:v>tqe10_zxcvbn</c:v>
                        </c:pt>
                        <c:pt idx="2">
                          <c:v>tqe10k_zxcvbn</c:v>
                        </c:pt>
                        <c:pt idx="3">
                          <c:v>guesses_shannon</c:v>
                        </c:pt>
                        <c:pt idx="4">
                          <c:v>tqe10_shannon</c:v>
                        </c:pt>
                        <c:pt idx="5">
                          <c:v>tqe10k_shannon</c:v>
                        </c:pt>
                        <c:pt idx="6">
                          <c:v>guesses_zxcvbn</c:v>
                        </c:pt>
                        <c:pt idx="7">
                          <c:v>tqe10_zxcvbn</c:v>
                        </c:pt>
                        <c:pt idx="8">
                          <c:v>tqe10k_zxcvbn</c:v>
                        </c:pt>
                        <c:pt idx="9">
                          <c:v>guesses_shannon</c:v>
                        </c:pt>
                        <c:pt idx="10">
                          <c:v>tqe10_shannon</c:v>
                        </c:pt>
                        <c:pt idx="11">
                          <c:v>tqe10k_shannon</c:v>
                        </c:pt>
                        <c:pt idx="12">
                          <c:v>guesses_zxcvbn</c:v>
                        </c:pt>
                        <c:pt idx="13">
                          <c:v>tqe10_zxcvbn</c:v>
                        </c:pt>
                        <c:pt idx="14">
                          <c:v>tqe10k_zxcvbn</c:v>
                        </c:pt>
                        <c:pt idx="15">
                          <c:v>guesses_shannon</c:v>
                        </c:pt>
                        <c:pt idx="16">
                          <c:v>tqe10_shannon</c:v>
                        </c:pt>
                        <c:pt idx="17">
                          <c:v>tqe10k_shannon</c:v>
                        </c:pt>
                        <c:pt idx="18">
                          <c:v>guesses_zxcvbn</c:v>
                        </c:pt>
                        <c:pt idx="19">
                          <c:v>tqe10_zxcvbn</c:v>
                        </c:pt>
                        <c:pt idx="20">
                          <c:v>tqe10k_zxcvbn</c:v>
                        </c:pt>
                        <c:pt idx="21">
                          <c:v>guesses_shannon</c:v>
                        </c:pt>
                        <c:pt idx="22">
                          <c:v>tqe10_shannon</c:v>
                        </c:pt>
                        <c:pt idx="23">
                          <c:v>tqe10k_shannon</c:v>
                        </c:pt>
                      </c:lvl>
                      <c:lvl>
                        <c:pt idx="0">
                          <c:v>Classe 1</c:v>
                        </c:pt>
                        <c:pt idx="6">
                          <c:v>Classe 2</c:v>
                        </c:pt>
                        <c:pt idx="12">
                          <c:v>Classe 3</c:v>
                        </c:pt>
                        <c:pt idx="18">
                          <c:v>Classe 4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NordPass!$T$75:$T$98</c15:sqref>
                        </c15:formulaRef>
                      </c:ext>
                    </c:extLst>
                    <c:numCache>
                      <c:formatCode>0.00</c:formatCode>
                      <c:ptCount val="2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AD3F-445B-A8A1-31E15F2706E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NordPass!$V$74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NordPass!$Q$75:$R$98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guesses_zxcvbn</c:v>
                        </c:pt>
                        <c:pt idx="1">
                          <c:v>tqe10_zxcvbn</c:v>
                        </c:pt>
                        <c:pt idx="2">
                          <c:v>tqe10k_zxcvbn</c:v>
                        </c:pt>
                        <c:pt idx="3">
                          <c:v>guesses_shannon</c:v>
                        </c:pt>
                        <c:pt idx="4">
                          <c:v>tqe10_shannon</c:v>
                        </c:pt>
                        <c:pt idx="5">
                          <c:v>tqe10k_shannon</c:v>
                        </c:pt>
                        <c:pt idx="6">
                          <c:v>guesses_zxcvbn</c:v>
                        </c:pt>
                        <c:pt idx="7">
                          <c:v>tqe10_zxcvbn</c:v>
                        </c:pt>
                        <c:pt idx="8">
                          <c:v>tqe10k_zxcvbn</c:v>
                        </c:pt>
                        <c:pt idx="9">
                          <c:v>guesses_shannon</c:v>
                        </c:pt>
                        <c:pt idx="10">
                          <c:v>tqe10_shannon</c:v>
                        </c:pt>
                        <c:pt idx="11">
                          <c:v>tqe10k_shannon</c:v>
                        </c:pt>
                        <c:pt idx="12">
                          <c:v>guesses_zxcvbn</c:v>
                        </c:pt>
                        <c:pt idx="13">
                          <c:v>tqe10_zxcvbn</c:v>
                        </c:pt>
                        <c:pt idx="14">
                          <c:v>tqe10k_zxcvbn</c:v>
                        </c:pt>
                        <c:pt idx="15">
                          <c:v>guesses_shannon</c:v>
                        </c:pt>
                        <c:pt idx="16">
                          <c:v>tqe10_shannon</c:v>
                        </c:pt>
                        <c:pt idx="17">
                          <c:v>tqe10k_shannon</c:v>
                        </c:pt>
                        <c:pt idx="18">
                          <c:v>guesses_zxcvbn</c:v>
                        </c:pt>
                        <c:pt idx="19">
                          <c:v>tqe10_zxcvbn</c:v>
                        </c:pt>
                        <c:pt idx="20">
                          <c:v>tqe10k_zxcvbn</c:v>
                        </c:pt>
                        <c:pt idx="21">
                          <c:v>guesses_shannon</c:v>
                        </c:pt>
                        <c:pt idx="22">
                          <c:v>tqe10_shannon</c:v>
                        </c:pt>
                        <c:pt idx="23">
                          <c:v>tqe10k_shannon</c:v>
                        </c:pt>
                      </c:lvl>
                      <c:lvl>
                        <c:pt idx="0">
                          <c:v>Classe 1</c:v>
                        </c:pt>
                        <c:pt idx="6">
                          <c:v>Classe 2</c:v>
                        </c:pt>
                        <c:pt idx="12">
                          <c:v>Classe 3</c:v>
                        </c:pt>
                        <c:pt idx="18">
                          <c:v>Classe 4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NordPass!$V$75:$V$98</c15:sqref>
                        </c15:formulaRef>
                      </c:ext>
                    </c:extLst>
                    <c:numCache>
                      <c:formatCode>0.00</c:formatCode>
                      <c:ptCount val="2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D3F-445B-A8A1-31E15F2706EA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NordPass!$X$74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00B05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NordPass!$Q$75:$R$98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guesses_zxcvbn</c:v>
                        </c:pt>
                        <c:pt idx="1">
                          <c:v>tqe10_zxcvbn</c:v>
                        </c:pt>
                        <c:pt idx="2">
                          <c:v>tqe10k_zxcvbn</c:v>
                        </c:pt>
                        <c:pt idx="3">
                          <c:v>guesses_shannon</c:v>
                        </c:pt>
                        <c:pt idx="4">
                          <c:v>tqe10_shannon</c:v>
                        </c:pt>
                        <c:pt idx="5">
                          <c:v>tqe10k_shannon</c:v>
                        </c:pt>
                        <c:pt idx="6">
                          <c:v>guesses_zxcvbn</c:v>
                        </c:pt>
                        <c:pt idx="7">
                          <c:v>tqe10_zxcvbn</c:v>
                        </c:pt>
                        <c:pt idx="8">
                          <c:v>tqe10k_zxcvbn</c:v>
                        </c:pt>
                        <c:pt idx="9">
                          <c:v>guesses_shannon</c:v>
                        </c:pt>
                        <c:pt idx="10">
                          <c:v>tqe10_shannon</c:v>
                        </c:pt>
                        <c:pt idx="11">
                          <c:v>tqe10k_shannon</c:v>
                        </c:pt>
                        <c:pt idx="12">
                          <c:v>guesses_zxcvbn</c:v>
                        </c:pt>
                        <c:pt idx="13">
                          <c:v>tqe10_zxcvbn</c:v>
                        </c:pt>
                        <c:pt idx="14">
                          <c:v>tqe10k_zxcvbn</c:v>
                        </c:pt>
                        <c:pt idx="15">
                          <c:v>guesses_shannon</c:v>
                        </c:pt>
                        <c:pt idx="16">
                          <c:v>tqe10_shannon</c:v>
                        </c:pt>
                        <c:pt idx="17">
                          <c:v>tqe10k_shannon</c:v>
                        </c:pt>
                        <c:pt idx="18">
                          <c:v>guesses_zxcvbn</c:v>
                        </c:pt>
                        <c:pt idx="19">
                          <c:v>tqe10_zxcvbn</c:v>
                        </c:pt>
                        <c:pt idx="20">
                          <c:v>tqe10k_zxcvbn</c:v>
                        </c:pt>
                        <c:pt idx="21">
                          <c:v>guesses_shannon</c:v>
                        </c:pt>
                        <c:pt idx="22">
                          <c:v>tqe10_shannon</c:v>
                        </c:pt>
                        <c:pt idx="23">
                          <c:v>tqe10k_shannon</c:v>
                        </c:pt>
                      </c:lvl>
                      <c:lvl>
                        <c:pt idx="0">
                          <c:v>Classe 1</c:v>
                        </c:pt>
                        <c:pt idx="6">
                          <c:v>Classe 2</c:v>
                        </c:pt>
                        <c:pt idx="12">
                          <c:v>Classe 3</c:v>
                        </c:pt>
                        <c:pt idx="18">
                          <c:v>Classe 4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NordPass!$X$75:$X$98</c15:sqref>
                        </c15:formulaRef>
                      </c:ext>
                    </c:extLst>
                    <c:numCache>
                      <c:formatCode>0.00</c:formatCode>
                      <c:ptCount val="2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D3F-445B-A8A1-31E15F2706EA}"/>
                  </c:ext>
                </c:extLst>
              </c15:ser>
            </c15:filteredBarSeries>
          </c:ext>
        </c:extLst>
      </c:barChart>
      <c:catAx>
        <c:axId val="7329469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545615"/>
        <c:crossesAt val="-5"/>
        <c:auto val="1"/>
        <c:lblAlgn val="ctr"/>
        <c:lblOffset val="100"/>
        <c:noMultiLvlLbl val="0"/>
      </c:catAx>
      <c:valAx>
        <c:axId val="179545615"/>
        <c:scaling>
          <c:orientation val="minMax"/>
          <c:min val="-5"/>
        </c:scaling>
        <c:delete val="0"/>
        <c:axPos val="t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294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NordPass!$R$101</c:f>
              <c:strCache>
                <c:ptCount val="1"/>
                <c:pt idx="0">
                  <c:v>Classe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NordPass!$S$100:$X$100</c15:sqref>
                  </c15:fullRef>
                </c:ext>
              </c:extLst>
              <c:f>(NordPass!$S$100,NordPass!$U$100,NordPass!$W$100)</c:f>
              <c:strCache>
                <c:ptCount val="3"/>
                <c:pt idx="0">
                  <c:v>8 caracteres</c:v>
                </c:pt>
                <c:pt idx="1">
                  <c:v>12 caracteres</c:v>
                </c:pt>
                <c:pt idx="2">
                  <c:v>16 caracteres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NordPass!$S$101:$X$101</c15:sqref>
                  </c15:fullRef>
                </c:ext>
              </c:extLst>
              <c:f>(NordPass!$S$101,NordPass!$U$101,NordPass!$W$101)</c:f>
              <c:numCache>
                <c:formatCode>0.00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7-49FE-ACC0-C976BBCC20E9}"/>
            </c:ext>
          </c:extLst>
        </c:ser>
        <c:ser>
          <c:idx val="1"/>
          <c:order val="1"/>
          <c:tx>
            <c:strRef>
              <c:f>NordPass!$R$102</c:f>
              <c:strCache>
                <c:ptCount val="1"/>
                <c:pt idx="0">
                  <c:v>Classe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NordPass!$S$100:$X$100</c15:sqref>
                  </c15:fullRef>
                </c:ext>
              </c:extLst>
              <c:f>(NordPass!$S$100,NordPass!$U$100,NordPass!$W$100)</c:f>
              <c:strCache>
                <c:ptCount val="3"/>
                <c:pt idx="0">
                  <c:v>8 caracteres</c:v>
                </c:pt>
                <c:pt idx="1">
                  <c:v>12 caracteres</c:v>
                </c:pt>
                <c:pt idx="2">
                  <c:v>16 caracteres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NordPass!$S$102:$X$102</c15:sqref>
                  </c15:fullRef>
                </c:ext>
              </c:extLst>
              <c:f>(NordPass!$S$102,NordPass!$U$102,NordPass!$W$102)</c:f>
              <c:numCache>
                <c:formatCode>0.00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D7-49FE-ACC0-C976BBCC20E9}"/>
            </c:ext>
          </c:extLst>
        </c:ser>
        <c:ser>
          <c:idx val="2"/>
          <c:order val="2"/>
          <c:tx>
            <c:strRef>
              <c:f>NordPass!$R$103</c:f>
              <c:strCache>
                <c:ptCount val="1"/>
                <c:pt idx="0">
                  <c:v>Classe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NordPass!$S$100:$X$100</c15:sqref>
                  </c15:fullRef>
                </c:ext>
              </c:extLst>
              <c:f>(NordPass!$S$100,NordPass!$U$100,NordPass!$W$100)</c:f>
              <c:strCache>
                <c:ptCount val="3"/>
                <c:pt idx="0">
                  <c:v>8 caracteres</c:v>
                </c:pt>
                <c:pt idx="1">
                  <c:v>12 caracteres</c:v>
                </c:pt>
                <c:pt idx="2">
                  <c:v>16 caracteres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NordPass!$S$103:$X$103</c15:sqref>
                  </c15:fullRef>
                </c:ext>
              </c:extLst>
              <c:f>(NordPass!$S$103,NordPass!$U$103,NordPass!$W$103)</c:f>
              <c:numCache>
                <c:formatCode>0.00</c:formatCode>
                <c:ptCount val="3"/>
                <c:pt idx="0">
                  <c:v>1.5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D7-49FE-ACC0-C976BBCC20E9}"/>
            </c:ext>
          </c:extLst>
        </c:ser>
        <c:ser>
          <c:idx val="3"/>
          <c:order val="3"/>
          <c:tx>
            <c:strRef>
              <c:f>NordPass!$R$104</c:f>
              <c:strCache>
                <c:ptCount val="1"/>
                <c:pt idx="0">
                  <c:v>Classe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NordPass!$S$100:$X$100</c15:sqref>
                  </c15:fullRef>
                </c:ext>
              </c:extLst>
              <c:f>(NordPass!$S$100,NordPass!$U$100,NordPass!$W$100)</c:f>
              <c:strCache>
                <c:ptCount val="3"/>
                <c:pt idx="0">
                  <c:v>8 caracteres</c:v>
                </c:pt>
                <c:pt idx="1">
                  <c:v>12 caracteres</c:v>
                </c:pt>
                <c:pt idx="2">
                  <c:v>16 caracteres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NordPass!$S$104:$X$104</c15:sqref>
                  </c15:fullRef>
                </c:ext>
              </c:extLst>
              <c:f>(NordPass!$S$104,NordPass!$U$104,NordPass!$W$104)</c:f>
              <c:numCache>
                <c:formatCode>0.00</c:formatCode>
                <c:ptCount val="3"/>
                <c:pt idx="0">
                  <c:v>1.5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D7-49FE-ACC0-C976BBCC2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3813168"/>
        <c:axId val="1894401136"/>
      </c:barChart>
      <c:catAx>
        <c:axId val="179381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4401136"/>
        <c:crosses val="autoZero"/>
        <c:auto val="1"/>
        <c:lblAlgn val="ctr"/>
        <c:lblOffset val="100"/>
        <c:noMultiLvlLbl val="0"/>
      </c:catAx>
      <c:valAx>
        <c:axId val="189440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381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'Norton PM'!$S$72</c:f>
              <c:strCache>
                <c:ptCount val="1"/>
                <c:pt idx="0">
                  <c:v>8 caracteres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'Norton PM'!$Q$73:$R$96</c:f>
              <c:multiLvlStrCache>
                <c:ptCount val="24"/>
                <c:lvl>
                  <c:pt idx="0">
                    <c:v>guesses_zxcvbn</c:v>
                  </c:pt>
                  <c:pt idx="1">
                    <c:v>tqe10_zxcvbn</c:v>
                  </c:pt>
                  <c:pt idx="2">
                    <c:v>tqe10k_zxcvbn</c:v>
                  </c:pt>
                  <c:pt idx="3">
                    <c:v>guesses_shannon</c:v>
                  </c:pt>
                  <c:pt idx="4">
                    <c:v>tqe10_shannon</c:v>
                  </c:pt>
                  <c:pt idx="5">
                    <c:v>tqe10k_shannon</c:v>
                  </c:pt>
                  <c:pt idx="6">
                    <c:v>guesses_zxcvbn</c:v>
                  </c:pt>
                  <c:pt idx="7">
                    <c:v>tqe10_zxcvbn</c:v>
                  </c:pt>
                  <c:pt idx="8">
                    <c:v>tqe10k_zxcvbn</c:v>
                  </c:pt>
                  <c:pt idx="9">
                    <c:v>guesses_shannon</c:v>
                  </c:pt>
                  <c:pt idx="10">
                    <c:v>tqe10_shannon</c:v>
                  </c:pt>
                  <c:pt idx="11">
                    <c:v>tqe10k_shannon</c:v>
                  </c:pt>
                  <c:pt idx="12">
                    <c:v>guesses_zxcvbn</c:v>
                  </c:pt>
                  <c:pt idx="13">
                    <c:v>tqe10_zxcvbn</c:v>
                  </c:pt>
                  <c:pt idx="14">
                    <c:v>tqe10k_zxcvbn</c:v>
                  </c:pt>
                  <c:pt idx="15">
                    <c:v>guesses_shannon</c:v>
                  </c:pt>
                  <c:pt idx="16">
                    <c:v>tqe10_shannon</c:v>
                  </c:pt>
                  <c:pt idx="17">
                    <c:v>tqe10k_shannon</c:v>
                  </c:pt>
                  <c:pt idx="18">
                    <c:v>guesses_zxcvbn</c:v>
                  </c:pt>
                  <c:pt idx="19">
                    <c:v>tqe10_zxcvbn</c:v>
                  </c:pt>
                  <c:pt idx="20">
                    <c:v>tqe10k_zxcvbn</c:v>
                  </c:pt>
                  <c:pt idx="21">
                    <c:v>guesses_shannon</c:v>
                  </c:pt>
                  <c:pt idx="22">
                    <c:v>tqe10_shannon</c:v>
                  </c:pt>
                  <c:pt idx="23">
                    <c:v>tqe10k_shannon</c:v>
                  </c:pt>
                </c:lvl>
                <c:lvl>
                  <c:pt idx="0">
                    <c:v>Classe 1</c:v>
                  </c:pt>
                  <c:pt idx="6">
                    <c:v>Classe 2</c:v>
                  </c:pt>
                  <c:pt idx="12">
                    <c:v>Classe 3</c:v>
                  </c:pt>
                  <c:pt idx="18">
                    <c:v>Classe 4</c:v>
                  </c:pt>
                </c:lvl>
              </c:multiLvlStrCache>
            </c:multiLvlStrRef>
          </c:cat>
          <c:val>
            <c:numRef>
              <c:f>'Norton PM'!$S$73:$S$96</c:f>
              <c:numCache>
                <c:formatCode>0.00</c:formatCode>
                <c:ptCount val="24"/>
                <c:pt idx="0">
                  <c:v>7.8150000000000004</c:v>
                </c:pt>
                <c:pt idx="1">
                  <c:v>-0.6845</c:v>
                </c:pt>
                <c:pt idx="2">
                  <c:v>-3.6844999999999999</c:v>
                </c:pt>
                <c:pt idx="3">
                  <c:v>11.319999999999997</c:v>
                </c:pt>
                <c:pt idx="4">
                  <c:v>2.82</c:v>
                </c:pt>
                <c:pt idx="5">
                  <c:v>-0.18000000000000005</c:v>
                </c:pt>
                <c:pt idx="6">
                  <c:v>7.9090000000000007</c:v>
                </c:pt>
                <c:pt idx="7">
                  <c:v>-0.59099999999999997</c:v>
                </c:pt>
                <c:pt idx="8">
                  <c:v>-3.5909999999999997</c:v>
                </c:pt>
                <c:pt idx="9">
                  <c:v>13.729999999999999</c:v>
                </c:pt>
                <c:pt idx="10">
                  <c:v>5.2300000000000022</c:v>
                </c:pt>
                <c:pt idx="11">
                  <c:v>2.2299999999999995</c:v>
                </c:pt>
                <c:pt idx="12">
                  <c:v>7.9595000000000002</c:v>
                </c:pt>
                <c:pt idx="13">
                  <c:v>-0.54049999999999998</c:v>
                </c:pt>
                <c:pt idx="14">
                  <c:v>-3.5405000000000002</c:v>
                </c:pt>
                <c:pt idx="15">
                  <c:v>14.864999999999995</c:v>
                </c:pt>
                <c:pt idx="16">
                  <c:v>6.3700000000000028</c:v>
                </c:pt>
                <c:pt idx="17">
                  <c:v>3.3699999999999997</c:v>
                </c:pt>
                <c:pt idx="18">
                  <c:v>7.8805000000000005</c:v>
                </c:pt>
                <c:pt idx="19">
                  <c:v>-0.61850000000000005</c:v>
                </c:pt>
                <c:pt idx="20">
                  <c:v>-3.6185</c:v>
                </c:pt>
                <c:pt idx="21">
                  <c:v>15.789999999999997</c:v>
                </c:pt>
                <c:pt idx="22">
                  <c:v>7.2900000000000018</c:v>
                </c:pt>
                <c:pt idx="23">
                  <c:v>4.2900000000000009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9-46BF-A147-68CF059104B5}"/>
            </c:ext>
          </c:extLst>
        </c:ser>
        <c:ser>
          <c:idx val="2"/>
          <c:order val="2"/>
          <c:tx>
            <c:strRef>
              <c:f>'Norton PM'!$U$72</c:f>
              <c:strCache>
                <c:ptCount val="1"/>
                <c:pt idx="0">
                  <c:v>12 caracteres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'Norton PM'!$Q$73:$R$96</c:f>
              <c:multiLvlStrCache>
                <c:ptCount val="24"/>
                <c:lvl>
                  <c:pt idx="0">
                    <c:v>guesses_zxcvbn</c:v>
                  </c:pt>
                  <c:pt idx="1">
                    <c:v>tqe10_zxcvbn</c:v>
                  </c:pt>
                  <c:pt idx="2">
                    <c:v>tqe10k_zxcvbn</c:v>
                  </c:pt>
                  <c:pt idx="3">
                    <c:v>guesses_shannon</c:v>
                  </c:pt>
                  <c:pt idx="4">
                    <c:v>tqe10_shannon</c:v>
                  </c:pt>
                  <c:pt idx="5">
                    <c:v>tqe10k_shannon</c:v>
                  </c:pt>
                  <c:pt idx="6">
                    <c:v>guesses_zxcvbn</c:v>
                  </c:pt>
                  <c:pt idx="7">
                    <c:v>tqe10_zxcvbn</c:v>
                  </c:pt>
                  <c:pt idx="8">
                    <c:v>tqe10k_zxcvbn</c:v>
                  </c:pt>
                  <c:pt idx="9">
                    <c:v>guesses_shannon</c:v>
                  </c:pt>
                  <c:pt idx="10">
                    <c:v>tqe10_shannon</c:v>
                  </c:pt>
                  <c:pt idx="11">
                    <c:v>tqe10k_shannon</c:v>
                  </c:pt>
                  <c:pt idx="12">
                    <c:v>guesses_zxcvbn</c:v>
                  </c:pt>
                  <c:pt idx="13">
                    <c:v>tqe10_zxcvbn</c:v>
                  </c:pt>
                  <c:pt idx="14">
                    <c:v>tqe10k_zxcvbn</c:v>
                  </c:pt>
                  <c:pt idx="15">
                    <c:v>guesses_shannon</c:v>
                  </c:pt>
                  <c:pt idx="16">
                    <c:v>tqe10_shannon</c:v>
                  </c:pt>
                  <c:pt idx="17">
                    <c:v>tqe10k_shannon</c:v>
                  </c:pt>
                  <c:pt idx="18">
                    <c:v>guesses_zxcvbn</c:v>
                  </c:pt>
                  <c:pt idx="19">
                    <c:v>tqe10_zxcvbn</c:v>
                  </c:pt>
                  <c:pt idx="20">
                    <c:v>tqe10k_zxcvbn</c:v>
                  </c:pt>
                  <c:pt idx="21">
                    <c:v>guesses_shannon</c:v>
                  </c:pt>
                  <c:pt idx="22">
                    <c:v>tqe10_shannon</c:v>
                  </c:pt>
                  <c:pt idx="23">
                    <c:v>tqe10k_shannon</c:v>
                  </c:pt>
                </c:lvl>
                <c:lvl>
                  <c:pt idx="0">
                    <c:v>Classe 1</c:v>
                  </c:pt>
                  <c:pt idx="6">
                    <c:v>Classe 2</c:v>
                  </c:pt>
                  <c:pt idx="12">
                    <c:v>Classe 3</c:v>
                  </c:pt>
                  <c:pt idx="18">
                    <c:v>Classe 4</c:v>
                  </c:pt>
                </c:lvl>
              </c:multiLvlStrCache>
            </c:multiLvlStrRef>
          </c:cat>
          <c:val>
            <c:numRef>
              <c:f>'Norton PM'!$U$73:$U$96</c:f>
              <c:numCache>
                <c:formatCode>0.00</c:formatCode>
                <c:ptCount val="24"/>
                <c:pt idx="0">
                  <c:v>11.5685</c:v>
                </c:pt>
                <c:pt idx="1">
                  <c:v>3.0695000000000006</c:v>
                </c:pt>
                <c:pt idx="2">
                  <c:v>6.9500000000000006E-2</c:v>
                </c:pt>
                <c:pt idx="3">
                  <c:v>16.98</c:v>
                </c:pt>
                <c:pt idx="4">
                  <c:v>8.48</c:v>
                </c:pt>
                <c:pt idx="5">
                  <c:v>5.4800000000000022</c:v>
                </c:pt>
                <c:pt idx="6">
                  <c:v>11.870499999999998</c:v>
                </c:pt>
                <c:pt idx="7">
                  <c:v>3.3704999999999998</c:v>
                </c:pt>
                <c:pt idx="8">
                  <c:v>0.3705</c:v>
                </c:pt>
                <c:pt idx="9">
                  <c:v>20.589999999999993</c:v>
                </c:pt>
                <c:pt idx="10">
                  <c:v>12.090000000000002</c:v>
                </c:pt>
                <c:pt idx="11">
                  <c:v>9.0900000000000016</c:v>
                </c:pt>
                <c:pt idx="12">
                  <c:v>11.782999999999999</c:v>
                </c:pt>
                <c:pt idx="13">
                  <c:v>3.2834999999999992</c:v>
                </c:pt>
                <c:pt idx="14">
                  <c:v>0.28349999999999997</c:v>
                </c:pt>
                <c:pt idx="15">
                  <c:v>22.299999999999997</c:v>
                </c:pt>
                <c:pt idx="16">
                  <c:v>13.799999999999997</c:v>
                </c:pt>
                <c:pt idx="17">
                  <c:v>10.799999999999997</c:v>
                </c:pt>
                <c:pt idx="18">
                  <c:v>11.864000000000001</c:v>
                </c:pt>
                <c:pt idx="19">
                  <c:v>3.3650000000000007</c:v>
                </c:pt>
                <c:pt idx="20">
                  <c:v>0.36499999999999994</c:v>
                </c:pt>
                <c:pt idx="21">
                  <c:v>23.680000000000003</c:v>
                </c:pt>
                <c:pt idx="22">
                  <c:v>15.180000000000003</c:v>
                </c:pt>
                <c:pt idx="23">
                  <c:v>12.180000000000003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69-46BF-A147-68CF059104B5}"/>
            </c:ext>
          </c:extLst>
        </c:ser>
        <c:ser>
          <c:idx val="4"/>
          <c:order val="4"/>
          <c:tx>
            <c:strRef>
              <c:f>'Norton PM'!$W$72</c:f>
              <c:strCache>
                <c:ptCount val="1"/>
                <c:pt idx="0">
                  <c:v>16 caracteres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'Norton PM'!$Q$73:$R$96</c:f>
              <c:multiLvlStrCache>
                <c:ptCount val="24"/>
                <c:lvl>
                  <c:pt idx="0">
                    <c:v>guesses_zxcvbn</c:v>
                  </c:pt>
                  <c:pt idx="1">
                    <c:v>tqe10_zxcvbn</c:v>
                  </c:pt>
                  <c:pt idx="2">
                    <c:v>tqe10k_zxcvbn</c:v>
                  </c:pt>
                  <c:pt idx="3">
                    <c:v>guesses_shannon</c:v>
                  </c:pt>
                  <c:pt idx="4">
                    <c:v>tqe10_shannon</c:v>
                  </c:pt>
                  <c:pt idx="5">
                    <c:v>tqe10k_shannon</c:v>
                  </c:pt>
                  <c:pt idx="6">
                    <c:v>guesses_zxcvbn</c:v>
                  </c:pt>
                  <c:pt idx="7">
                    <c:v>tqe10_zxcvbn</c:v>
                  </c:pt>
                  <c:pt idx="8">
                    <c:v>tqe10k_zxcvbn</c:v>
                  </c:pt>
                  <c:pt idx="9">
                    <c:v>guesses_shannon</c:v>
                  </c:pt>
                  <c:pt idx="10">
                    <c:v>tqe10_shannon</c:v>
                  </c:pt>
                  <c:pt idx="11">
                    <c:v>tqe10k_shannon</c:v>
                  </c:pt>
                  <c:pt idx="12">
                    <c:v>guesses_zxcvbn</c:v>
                  </c:pt>
                  <c:pt idx="13">
                    <c:v>tqe10_zxcvbn</c:v>
                  </c:pt>
                  <c:pt idx="14">
                    <c:v>tqe10k_zxcvbn</c:v>
                  </c:pt>
                  <c:pt idx="15">
                    <c:v>guesses_shannon</c:v>
                  </c:pt>
                  <c:pt idx="16">
                    <c:v>tqe10_shannon</c:v>
                  </c:pt>
                  <c:pt idx="17">
                    <c:v>tqe10k_shannon</c:v>
                  </c:pt>
                  <c:pt idx="18">
                    <c:v>guesses_zxcvbn</c:v>
                  </c:pt>
                  <c:pt idx="19">
                    <c:v>tqe10_zxcvbn</c:v>
                  </c:pt>
                  <c:pt idx="20">
                    <c:v>tqe10k_zxcvbn</c:v>
                  </c:pt>
                  <c:pt idx="21">
                    <c:v>guesses_shannon</c:v>
                  </c:pt>
                  <c:pt idx="22">
                    <c:v>tqe10_shannon</c:v>
                  </c:pt>
                  <c:pt idx="23">
                    <c:v>tqe10k_shannon</c:v>
                  </c:pt>
                </c:lvl>
                <c:lvl>
                  <c:pt idx="0">
                    <c:v>Classe 1</c:v>
                  </c:pt>
                  <c:pt idx="6">
                    <c:v>Classe 2</c:v>
                  </c:pt>
                  <c:pt idx="12">
                    <c:v>Classe 3</c:v>
                  </c:pt>
                  <c:pt idx="18">
                    <c:v>Classe 4</c:v>
                  </c:pt>
                </c:lvl>
              </c:multiLvlStrCache>
            </c:multiLvlStrRef>
          </c:cat>
          <c:val>
            <c:numRef>
              <c:f>'Norton PM'!$W$73:$W$96</c:f>
              <c:numCache>
                <c:formatCode>0.00</c:formatCode>
                <c:ptCount val="24"/>
                <c:pt idx="0">
                  <c:v>15.655499999999998</c:v>
                </c:pt>
                <c:pt idx="1">
                  <c:v>7.1555000000000009</c:v>
                </c:pt>
                <c:pt idx="2">
                  <c:v>4.1555</c:v>
                </c:pt>
                <c:pt idx="3">
                  <c:v>22.639999999999993</c:v>
                </c:pt>
                <c:pt idx="4">
                  <c:v>14.139999999999995</c:v>
                </c:pt>
                <c:pt idx="5">
                  <c:v>11.139999999999995</c:v>
                </c:pt>
                <c:pt idx="6">
                  <c:v>15.653500000000003</c:v>
                </c:pt>
                <c:pt idx="7">
                  <c:v>7.153999999999999</c:v>
                </c:pt>
                <c:pt idx="8">
                  <c:v>4.1540000000000008</c:v>
                </c:pt>
                <c:pt idx="9">
                  <c:v>27.459999999999997</c:v>
                </c:pt>
                <c:pt idx="10">
                  <c:v>18.959999999999997</c:v>
                </c:pt>
                <c:pt idx="11">
                  <c:v>15.960000000000003</c:v>
                </c:pt>
                <c:pt idx="12">
                  <c:v>15.754</c:v>
                </c:pt>
                <c:pt idx="13">
                  <c:v>7.2549999999999999</c:v>
                </c:pt>
                <c:pt idx="14">
                  <c:v>4.2549999999999999</c:v>
                </c:pt>
                <c:pt idx="15">
                  <c:v>29.735000000000003</c:v>
                </c:pt>
                <c:pt idx="16">
                  <c:v>21.235000000000007</c:v>
                </c:pt>
                <c:pt idx="17">
                  <c:v>18.235000000000007</c:v>
                </c:pt>
                <c:pt idx="18">
                  <c:v>15.928000000000001</c:v>
                </c:pt>
                <c:pt idx="19">
                  <c:v>7.4279999999999999</c:v>
                </c:pt>
                <c:pt idx="20">
                  <c:v>4.4279999999999999</c:v>
                </c:pt>
                <c:pt idx="21">
                  <c:v>31.570000000000004</c:v>
                </c:pt>
                <c:pt idx="22">
                  <c:v>23.069999999999997</c:v>
                </c:pt>
                <c:pt idx="23">
                  <c:v>20.069999999999997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69-46BF-A147-68CF059104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732946975"/>
        <c:axId val="17954561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'Norton PM'!$T$72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'Norton PM'!$Q$73:$R$96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guesses_zxcvbn</c:v>
                        </c:pt>
                        <c:pt idx="1">
                          <c:v>tqe10_zxcvbn</c:v>
                        </c:pt>
                        <c:pt idx="2">
                          <c:v>tqe10k_zxcvbn</c:v>
                        </c:pt>
                        <c:pt idx="3">
                          <c:v>guesses_shannon</c:v>
                        </c:pt>
                        <c:pt idx="4">
                          <c:v>tqe10_shannon</c:v>
                        </c:pt>
                        <c:pt idx="5">
                          <c:v>tqe10k_shannon</c:v>
                        </c:pt>
                        <c:pt idx="6">
                          <c:v>guesses_zxcvbn</c:v>
                        </c:pt>
                        <c:pt idx="7">
                          <c:v>tqe10_zxcvbn</c:v>
                        </c:pt>
                        <c:pt idx="8">
                          <c:v>tqe10k_zxcvbn</c:v>
                        </c:pt>
                        <c:pt idx="9">
                          <c:v>guesses_shannon</c:v>
                        </c:pt>
                        <c:pt idx="10">
                          <c:v>tqe10_shannon</c:v>
                        </c:pt>
                        <c:pt idx="11">
                          <c:v>tqe10k_shannon</c:v>
                        </c:pt>
                        <c:pt idx="12">
                          <c:v>guesses_zxcvbn</c:v>
                        </c:pt>
                        <c:pt idx="13">
                          <c:v>tqe10_zxcvbn</c:v>
                        </c:pt>
                        <c:pt idx="14">
                          <c:v>tqe10k_zxcvbn</c:v>
                        </c:pt>
                        <c:pt idx="15">
                          <c:v>guesses_shannon</c:v>
                        </c:pt>
                        <c:pt idx="16">
                          <c:v>tqe10_shannon</c:v>
                        </c:pt>
                        <c:pt idx="17">
                          <c:v>tqe10k_shannon</c:v>
                        </c:pt>
                        <c:pt idx="18">
                          <c:v>guesses_zxcvbn</c:v>
                        </c:pt>
                        <c:pt idx="19">
                          <c:v>tqe10_zxcvbn</c:v>
                        </c:pt>
                        <c:pt idx="20">
                          <c:v>tqe10k_zxcvbn</c:v>
                        </c:pt>
                        <c:pt idx="21">
                          <c:v>guesses_shannon</c:v>
                        </c:pt>
                        <c:pt idx="22">
                          <c:v>tqe10_shannon</c:v>
                        </c:pt>
                        <c:pt idx="23">
                          <c:v>tqe10k_shannon</c:v>
                        </c:pt>
                      </c:lvl>
                      <c:lvl>
                        <c:pt idx="0">
                          <c:v>Classe 1</c:v>
                        </c:pt>
                        <c:pt idx="6">
                          <c:v>Classe 2</c:v>
                        </c:pt>
                        <c:pt idx="12">
                          <c:v>Classe 3</c:v>
                        </c:pt>
                        <c:pt idx="18">
                          <c:v>Classe 4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'Norton PM'!$T$73:$T$96</c15:sqref>
                        </c15:formulaRef>
                      </c:ext>
                    </c:extLst>
                    <c:numCache>
                      <c:formatCode>0.00</c:formatCode>
                      <c:ptCount val="2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9369-46BF-A147-68CF059104B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'Norton PM'!$V$72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'Norton PM'!$Q$73:$R$96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guesses_zxcvbn</c:v>
                        </c:pt>
                        <c:pt idx="1">
                          <c:v>tqe10_zxcvbn</c:v>
                        </c:pt>
                        <c:pt idx="2">
                          <c:v>tqe10k_zxcvbn</c:v>
                        </c:pt>
                        <c:pt idx="3">
                          <c:v>guesses_shannon</c:v>
                        </c:pt>
                        <c:pt idx="4">
                          <c:v>tqe10_shannon</c:v>
                        </c:pt>
                        <c:pt idx="5">
                          <c:v>tqe10k_shannon</c:v>
                        </c:pt>
                        <c:pt idx="6">
                          <c:v>guesses_zxcvbn</c:v>
                        </c:pt>
                        <c:pt idx="7">
                          <c:v>tqe10_zxcvbn</c:v>
                        </c:pt>
                        <c:pt idx="8">
                          <c:v>tqe10k_zxcvbn</c:v>
                        </c:pt>
                        <c:pt idx="9">
                          <c:v>guesses_shannon</c:v>
                        </c:pt>
                        <c:pt idx="10">
                          <c:v>tqe10_shannon</c:v>
                        </c:pt>
                        <c:pt idx="11">
                          <c:v>tqe10k_shannon</c:v>
                        </c:pt>
                        <c:pt idx="12">
                          <c:v>guesses_zxcvbn</c:v>
                        </c:pt>
                        <c:pt idx="13">
                          <c:v>tqe10_zxcvbn</c:v>
                        </c:pt>
                        <c:pt idx="14">
                          <c:v>tqe10k_zxcvbn</c:v>
                        </c:pt>
                        <c:pt idx="15">
                          <c:v>guesses_shannon</c:v>
                        </c:pt>
                        <c:pt idx="16">
                          <c:v>tqe10_shannon</c:v>
                        </c:pt>
                        <c:pt idx="17">
                          <c:v>tqe10k_shannon</c:v>
                        </c:pt>
                        <c:pt idx="18">
                          <c:v>guesses_zxcvbn</c:v>
                        </c:pt>
                        <c:pt idx="19">
                          <c:v>tqe10_zxcvbn</c:v>
                        </c:pt>
                        <c:pt idx="20">
                          <c:v>tqe10k_zxcvbn</c:v>
                        </c:pt>
                        <c:pt idx="21">
                          <c:v>guesses_shannon</c:v>
                        </c:pt>
                        <c:pt idx="22">
                          <c:v>tqe10_shannon</c:v>
                        </c:pt>
                        <c:pt idx="23">
                          <c:v>tqe10k_shannon</c:v>
                        </c:pt>
                      </c:lvl>
                      <c:lvl>
                        <c:pt idx="0">
                          <c:v>Classe 1</c:v>
                        </c:pt>
                        <c:pt idx="6">
                          <c:v>Classe 2</c:v>
                        </c:pt>
                        <c:pt idx="12">
                          <c:v>Classe 3</c:v>
                        </c:pt>
                        <c:pt idx="18">
                          <c:v>Classe 4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'Norton PM'!$V$73:$V$96</c15:sqref>
                        </c15:formulaRef>
                      </c:ext>
                    </c:extLst>
                    <c:numCache>
                      <c:formatCode>0.00</c:formatCode>
                      <c:ptCount val="2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369-46BF-A147-68CF059104B5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'Norton PM'!$X$72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00B05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'Norton PM'!$Q$73:$R$96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guesses_zxcvbn</c:v>
                        </c:pt>
                        <c:pt idx="1">
                          <c:v>tqe10_zxcvbn</c:v>
                        </c:pt>
                        <c:pt idx="2">
                          <c:v>tqe10k_zxcvbn</c:v>
                        </c:pt>
                        <c:pt idx="3">
                          <c:v>guesses_shannon</c:v>
                        </c:pt>
                        <c:pt idx="4">
                          <c:v>tqe10_shannon</c:v>
                        </c:pt>
                        <c:pt idx="5">
                          <c:v>tqe10k_shannon</c:v>
                        </c:pt>
                        <c:pt idx="6">
                          <c:v>guesses_zxcvbn</c:v>
                        </c:pt>
                        <c:pt idx="7">
                          <c:v>tqe10_zxcvbn</c:v>
                        </c:pt>
                        <c:pt idx="8">
                          <c:v>tqe10k_zxcvbn</c:v>
                        </c:pt>
                        <c:pt idx="9">
                          <c:v>guesses_shannon</c:v>
                        </c:pt>
                        <c:pt idx="10">
                          <c:v>tqe10_shannon</c:v>
                        </c:pt>
                        <c:pt idx="11">
                          <c:v>tqe10k_shannon</c:v>
                        </c:pt>
                        <c:pt idx="12">
                          <c:v>guesses_zxcvbn</c:v>
                        </c:pt>
                        <c:pt idx="13">
                          <c:v>tqe10_zxcvbn</c:v>
                        </c:pt>
                        <c:pt idx="14">
                          <c:v>tqe10k_zxcvbn</c:v>
                        </c:pt>
                        <c:pt idx="15">
                          <c:v>guesses_shannon</c:v>
                        </c:pt>
                        <c:pt idx="16">
                          <c:v>tqe10_shannon</c:v>
                        </c:pt>
                        <c:pt idx="17">
                          <c:v>tqe10k_shannon</c:v>
                        </c:pt>
                        <c:pt idx="18">
                          <c:v>guesses_zxcvbn</c:v>
                        </c:pt>
                        <c:pt idx="19">
                          <c:v>tqe10_zxcvbn</c:v>
                        </c:pt>
                        <c:pt idx="20">
                          <c:v>tqe10k_zxcvbn</c:v>
                        </c:pt>
                        <c:pt idx="21">
                          <c:v>guesses_shannon</c:v>
                        </c:pt>
                        <c:pt idx="22">
                          <c:v>tqe10_shannon</c:v>
                        </c:pt>
                        <c:pt idx="23">
                          <c:v>tqe10k_shannon</c:v>
                        </c:pt>
                      </c:lvl>
                      <c:lvl>
                        <c:pt idx="0">
                          <c:v>Classe 1</c:v>
                        </c:pt>
                        <c:pt idx="6">
                          <c:v>Classe 2</c:v>
                        </c:pt>
                        <c:pt idx="12">
                          <c:v>Classe 3</c:v>
                        </c:pt>
                        <c:pt idx="18">
                          <c:v>Classe 4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'Norton PM'!$X$73:$X$96</c15:sqref>
                        </c15:formulaRef>
                      </c:ext>
                    </c:extLst>
                    <c:numCache>
                      <c:formatCode>0.00</c:formatCode>
                      <c:ptCount val="2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369-46BF-A147-68CF059104B5}"/>
                  </c:ext>
                </c:extLst>
              </c15:ser>
            </c15:filteredBarSeries>
          </c:ext>
        </c:extLst>
      </c:barChart>
      <c:catAx>
        <c:axId val="7329469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545615"/>
        <c:crossesAt val="-5"/>
        <c:auto val="1"/>
        <c:lblAlgn val="ctr"/>
        <c:lblOffset val="100"/>
        <c:noMultiLvlLbl val="0"/>
      </c:catAx>
      <c:valAx>
        <c:axId val="179545615"/>
        <c:scaling>
          <c:orientation val="minMax"/>
          <c:min val="-5"/>
        </c:scaling>
        <c:delete val="0"/>
        <c:axPos val="t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294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'Norton PM'!$R$99</c:f>
              <c:strCache>
                <c:ptCount val="1"/>
                <c:pt idx="0">
                  <c:v>Classe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'Norton PM'!$S$98:$X$98</c15:sqref>
                  </c15:fullRef>
                </c:ext>
              </c:extLst>
              <c:f>('Norton PM'!$S$98,'Norton PM'!$U$98,'Norton PM'!$W$98)</c:f>
              <c:strCache>
                <c:ptCount val="3"/>
                <c:pt idx="0">
                  <c:v>8 caracteres</c:v>
                </c:pt>
                <c:pt idx="1">
                  <c:v>12 caracteres</c:v>
                </c:pt>
                <c:pt idx="2">
                  <c:v>16 caracteres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'Norton PM'!$S$99:$X$99</c15:sqref>
                  </c15:fullRef>
                </c:ext>
              </c:extLst>
              <c:f>('Norton PM'!$S$99,'Norton PM'!$U$99,'Norton PM'!$W$99)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0-4C37-A667-7013EEE6F3B2}"/>
            </c:ext>
          </c:extLst>
        </c:ser>
        <c:ser>
          <c:idx val="1"/>
          <c:order val="1"/>
          <c:tx>
            <c:strRef>
              <c:f>'Norton PM'!$R$100</c:f>
              <c:strCache>
                <c:ptCount val="1"/>
                <c:pt idx="0">
                  <c:v>Classe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'Norton PM'!$S$98:$X$98</c15:sqref>
                  </c15:fullRef>
                </c:ext>
              </c:extLst>
              <c:f>('Norton PM'!$S$98,'Norton PM'!$U$98,'Norton PM'!$W$98)</c:f>
              <c:strCache>
                <c:ptCount val="3"/>
                <c:pt idx="0">
                  <c:v>8 caracteres</c:v>
                </c:pt>
                <c:pt idx="1">
                  <c:v>12 caracteres</c:v>
                </c:pt>
                <c:pt idx="2">
                  <c:v>16 caracteres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'Norton PM'!$S$100:$X$100</c15:sqref>
                  </c15:fullRef>
                </c:ext>
              </c:extLst>
              <c:f>('Norton PM'!$S$100,'Norton PM'!$U$100,'Norton PM'!$W$100)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C0-4C37-A667-7013EEE6F3B2}"/>
            </c:ext>
          </c:extLst>
        </c:ser>
        <c:ser>
          <c:idx val="2"/>
          <c:order val="2"/>
          <c:tx>
            <c:strRef>
              <c:f>'Norton PM'!$R$101</c:f>
              <c:strCache>
                <c:ptCount val="1"/>
                <c:pt idx="0">
                  <c:v>Classe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'Norton PM'!$S$98:$X$98</c15:sqref>
                  </c15:fullRef>
                </c:ext>
              </c:extLst>
              <c:f>('Norton PM'!$S$98,'Norton PM'!$U$98,'Norton PM'!$W$98)</c:f>
              <c:strCache>
                <c:ptCount val="3"/>
                <c:pt idx="0">
                  <c:v>8 caracteres</c:v>
                </c:pt>
                <c:pt idx="1">
                  <c:v>12 caracteres</c:v>
                </c:pt>
                <c:pt idx="2">
                  <c:v>16 caracteres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'Norton PM'!$S$101:$X$101</c15:sqref>
                  </c15:fullRef>
                </c:ext>
              </c:extLst>
              <c:f>('Norton PM'!$S$101,'Norton PM'!$U$101,'Norton PM'!$W$101)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C0-4C37-A667-7013EEE6F3B2}"/>
            </c:ext>
          </c:extLst>
        </c:ser>
        <c:ser>
          <c:idx val="3"/>
          <c:order val="3"/>
          <c:tx>
            <c:strRef>
              <c:f>'Norton PM'!$R$102</c:f>
              <c:strCache>
                <c:ptCount val="1"/>
                <c:pt idx="0">
                  <c:v>Classe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'Norton PM'!$S$98:$X$98</c15:sqref>
                  </c15:fullRef>
                </c:ext>
              </c:extLst>
              <c:f>('Norton PM'!$S$98,'Norton PM'!$U$98,'Norton PM'!$W$98)</c:f>
              <c:strCache>
                <c:ptCount val="3"/>
                <c:pt idx="0">
                  <c:v>8 caracteres</c:v>
                </c:pt>
                <c:pt idx="1">
                  <c:v>12 caracteres</c:v>
                </c:pt>
                <c:pt idx="2">
                  <c:v>16 caracteres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'Norton PM'!$S$102:$X$102</c15:sqref>
                  </c15:fullRef>
                </c:ext>
              </c:extLst>
              <c:f>('Norton PM'!$S$102,'Norton PM'!$U$102,'Norton PM'!$W$102)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C0-4C37-A667-7013EEE6F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3813168"/>
        <c:axId val="1894401136"/>
      </c:barChart>
      <c:catAx>
        <c:axId val="179381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4401136"/>
        <c:crosses val="autoZero"/>
        <c:auto val="1"/>
        <c:lblAlgn val="ctr"/>
        <c:lblOffset val="100"/>
        <c:noMultiLvlLbl val="0"/>
      </c:catAx>
      <c:valAx>
        <c:axId val="189440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381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247484</xdr:colOff>
      <xdr:row>1</xdr:row>
      <xdr:rowOff>67010</xdr:rowOff>
    </xdr:from>
    <xdr:to>
      <xdr:col>45</xdr:col>
      <xdr:colOff>575346</xdr:colOff>
      <xdr:row>57</xdr:row>
      <xdr:rowOff>103524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7E88A5-FD18-4A51-8A47-D409394D9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220580</xdr:colOff>
      <xdr:row>58</xdr:row>
      <xdr:rowOff>102267</xdr:rowOff>
    </xdr:from>
    <xdr:to>
      <xdr:col>36</xdr:col>
      <xdr:colOff>461211</xdr:colOff>
      <xdr:row>81</xdr:row>
      <xdr:rowOff>90237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843153A-7E70-D177-150D-2B9EDEEE9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426286</xdr:colOff>
      <xdr:row>0</xdr:row>
      <xdr:rowOff>157580</xdr:rowOff>
    </xdr:from>
    <xdr:to>
      <xdr:col>47</xdr:col>
      <xdr:colOff>531733</xdr:colOff>
      <xdr:row>56</xdr:row>
      <xdr:rowOff>153989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48BE63-F6D3-4F4B-8CDF-037646B76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421107</xdr:colOff>
      <xdr:row>57</xdr:row>
      <xdr:rowOff>180473</xdr:rowOff>
    </xdr:from>
    <xdr:to>
      <xdr:col>37</xdr:col>
      <xdr:colOff>50133</xdr:colOff>
      <xdr:row>80</xdr:row>
      <xdr:rowOff>168443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FE06EA-2CF5-4CCC-9D93-8FA6D8370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609098</xdr:colOff>
      <xdr:row>1</xdr:row>
      <xdr:rowOff>47124</xdr:rowOff>
    </xdr:from>
    <xdr:to>
      <xdr:col>45</xdr:col>
      <xdr:colOff>387855</xdr:colOff>
      <xdr:row>57</xdr:row>
      <xdr:rowOff>83638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6D72FB-A917-4486-9FFA-CFACBB2AE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0</xdr:colOff>
      <xdr:row>59</xdr:row>
      <xdr:rowOff>0</xdr:rowOff>
    </xdr:from>
    <xdr:to>
      <xdr:col>37</xdr:col>
      <xdr:colOff>240630</xdr:colOff>
      <xdr:row>81</xdr:row>
      <xdr:rowOff>178470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328B4E7-26DD-409D-8200-17A91983E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409071</xdr:colOff>
      <xdr:row>4</xdr:row>
      <xdr:rowOff>156493</xdr:rowOff>
    </xdr:from>
    <xdr:to>
      <xdr:col>43</xdr:col>
      <xdr:colOff>109788</xdr:colOff>
      <xdr:row>61</xdr:row>
      <xdr:rowOff>2507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D21804-84C8-427F-91ED-FAF204B39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421106</xdr:colOff>
      <xdr:row>62</xdr:row>
      <xdr:rowOff>0</xdr:rowOff>
    </xdr:from>
    <xdr:to>
      <xdr:col>34</xdr:col>
      <xdr:colOff>561473</xdr:colOff>
      <xdr:row>84</xdr:row>
      <xdr:rowOff>178470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6B697C7-A5B3-45C0-826A-057265BAEA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505827</xdr:colOff>
      <xdr:row>1</xdr:row>
      <xdr:rowOff>16544</xdr:rowOff>
    </xdr:from>
    <xdr:to>
      <xdr:col>46</xdr:col>
      <xdr:colOff>335717</xdr:colOff>
      <xdr:row>57</xdr:row>
      <xdr:rowOff>12953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D4CB94-B280-4CBC-A22B-F03863DEA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501316</xdr:colOff>
      <xdr:row>58</xdr:row>
      <xdr:rowOff>10026</xdr:rowOff>
    </xdr:from>
    <xdr:to>
      <xdr:col>38</xdr:col>
      <xdr:colOff>130341</xdr:colOff>
      <xdr:row>80</xdr:row>
      <xdr:rowOff>178469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E9AAB8C-A0F0-4562-B6C2-F1B55F487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177131</xdr:colOff>
      <xdr:row>1</xdr:row>
      <xdr:rowOff>125661</xdr:rowOff>
    </xdr:from>
    <xdr:to>
      <xdr:col>45</xdr:col>
      <xdr:colOff>45456</xdr:colOff>
      <xdr:row>57</xdr:row>
      <xdr:rowOff>145297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6089A0-2984-480E-89B8-A00AC2C9F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164934</xdr:colOff>
      <xdr:row>58</xdr:row>
      <xdr:rowOff>155909</xdr:rowOff>
    </xdr:from>
    <xdr:to>
      <xdr:col>36</xdr:col>
      <xdr:colOff>402389</xdr:colOff>
      <xdr:row>81</xdr:row>
      <xdr:rowOff>137027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DEA459F-3DDA-432C-A5A9-AEC66B3867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mailto:J@atmmE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D2A5-830F-470C-9873-EA2672C4AB37}">
  <dimension ref="A1:X241"/>
  <sheetViews>
    <sheetView showGridLines="0" tabSelected="1" zoomScale="95" zoomScaleNormal="95" workbookViewId="0">
      <selection activeCell="Q18" sqref="Q18"/>
    </sheetView>
  </sheetViews>
  <sheetFormatPr defaultRowHeight="15" x14ac:dyDescent="0.25"/>
  <cols>
    <col min="2" max="2" width="4.140625" bestFit="1" customWidth="1"/>
    <col min="3" max="3" width="20.7109375" customWidth="1"/>
    <col min="4" max="4" width="11" bestFit="1" customWidth="1"/>
    <col min="5" max="5" width="11" customWidth="1"/>
    <col min="6" max="6" width="13.28515625" customWidth="1"/>
    <col min="7" max="7" width="14.42578125" bestFit="1" customWidth="1"/>
    <col min="8" max="8" width="16.7109375" bestFit="1" customWidth="1"/>
    <col min="9" max="9" width="14.7109375" bestFit="1" customWidth="1"/>
    <col min="10" max="10" width="15.7109375" bestFit="1" customWidth="1"/>
    <col min="11" max="11" width="12.7109375" bestFit="1" customWidth="1"/>
    <col min="12" max="12" width="15.140625" bestFit="1" customWidth="1"/>
    <col min="13" max="13" width="13.140625" bestFit="1" customWidth="1"/>
    <col min="14" max="15" width="16.7109375" customWidth="1"/>
    <col min="17" max="17" width="8" bestFit="1" customWidth="1"/>
    <col min="18" max="18" width="15.85546875" customWidth="1"/>
  </cols>
  <sheetData>
    <row r="1" spans="1:24" x14ac:dyDescent="0.25">
      <c r="C1" t="s">
        <v>8</v>
      </c>
      <c r="D1" t="s">
        <v>9</v>
      </c>
      <c r="E1" t="s">
        <v>1487</v>
      </c>
      <c r="F1" t="s">
        <v>1509</v>
      </c>
      <c r="G1" t="s">
        <v>1452</v>
      </c>
      <c r="H1" t="s">
        <v>1454</v>
      </c>
      <c r="I1" t="s">
        <v>1456</v>
      </c>
      <c r="J1" t="s">
        <v>1457</v>
      </c>
      <c r="K1" t="s">
        <v>1512</v>
      </c>
      <c r="L1" t="s">
        <v>1455</v>
      </c>
      <c r="M1" t="s">
        <v>1458</v>
      </c>
      <c r="N1" t="s">
        <v>1459</v>
      </c>
      <c r="O1" t="s">
        <v>1510</v>
      </c>
    </row>
    <row r="2" spans="1:24" x14ac:dyDescent="0.25">
      <c r="A2" s="39" t="s">
        <v>0</v>
      </c>
      <c r="B2" s="40" t="s">
        <v>4</v>
      </c>
      <c r="C2" s="7" t="s">
        <v>1212</v>
      </c>
      <c r="D2" s="7" t="s">
        <v>271</v>
      </c>
      <c r="E2" s="8">
        <f t="shared" ref="E2:E65" si="0">IF(D2="Muito Fraca", 1, IF(D2="Fraca", 2, IF(D2="Boa", 3, 4)))</f>
        <v>2</v>
      </c>
      <c r="F2" s="7">
        <v>37.6</v>
      </c>
      <c r="G2" s="7">
        <v>4</v>
      </c>
      <c r="H2" s="7">
        <v>11.32</v>
      </c>
      <c r="I2" s="7">
        <v>2.82</v>
      </c>
      <c r="J2" s="7">
        <v>-0.18</v>
      </c>
      <c r="K2" s="7">
        <v>2</v>
      </c>
      <c r="L2" s="7">
        <v>8</v>
      </c>
      <c r="M2" s="7">
        <v>-0.5</v>
      </c>
      <c r="N2" s="7">
        <v>-3.5</v>
      </c>
      <c r="O2" s="18">
        <f>E2/K2</f>
        <v>1</v>
      </c>
    </row>
    <row r="3" spans="1:24" x14ac:dyDescent="0.25">
      <c r="A3" s="39"/>
      <c r="B3" s="41"/>
      <c r="C3" t="s">
        <v>1213</v>
      </c>
      <c r="D3" t="s">
        <v>271</v>
      </c>
      <c r="E3" s="3">
        <f t="shared" si="0"/>
        <v>2</v>
      </c>
      <c r="F3">
        <v>37.6</v>
      </c>
      <c r="G3">
        <v>4</v>
      </c>
      <c r="H3">
        <v>11.32</v>
      </c>
      <c r="I3">
        <v>2.82</v>
      </c>
      <c r="J3">
        <v>-0.18</v>
      </c>
      <c r="K3">
        <v>2</v>
      </c>
      <c r="L3">
        <v>8</v>
      </c>
      <c r="M3">
        <v>-0.5</v>
      </c>
      <c r="N3">
        <v>-3.5</v>
      </c>
      <c r="O3" s="19">
        <f t="shared" ref="O3:O66" si="1">E3/K3</f>
        <v>1</v>
      </c>
    </row>
    <row r="4" spans="1:24" x14ac:dyDescent="0.25">
      <c r="A4" s="39"/>
      <c r="B4" s="41"/>
      <c r="C4" t="s">
        <v>1214</v>
      </c>
      <c r="D4" t="s">
        <v>271</v>
      </c>
      <c r="E4" s="3">
        <f t="shared" si="0"/>
        <v>2</v>
      </c>
      <c r="F4">
        <v>37.6</v>
      </c>
      <c r="G4">
        <v>4</v>
      </c>
      <c r="H4">
        <v>11.32</v>
      </c>
      <c r="I4">
        <v>2.82</v>
      </c>
      <c r="J4">
        <v>-0.18</v>
      </c>
      <c r="K4">
        <v>2</v>
      </c>
      <c r="L4">
        <v>8</v>
      </c>
      <c r="M4">
        <v>-0.5</v>
      </c>
      <c r="N4">
        <v>-3.5</v>
      </c>
      <c r="O4" s="19">
        <f t="shared" si="1"/>
        <v>1</v>
      </c>
    </row>
    <row r="5" spans="1:24" x14ac:dyDescent="0.25">
      <c r="A5" s="39"/>
      <c r="B5" s="41"/>
      <c r="C5" t="s">
        <v>1215</v>
      </c>
      <c r="D5" t="s">
        <v>271</v>
      </c>
      <c r="E5" s="3">
        <f t="shared" si="0"/>
        <v>2</v>
      </c>
      <c r="F5">
        <v>37.6</v>
      </c>
      <c r="G5">
        <v>4</v>
      </c>
      <c r="H5">
        <v>11.32</v>
      </c>
      <c r="I5">
        <v>2.82</v>
      </c>
      <c r="J5">
        <v>-0.18</v>
      </c>
      <c r="K5">
        <v>2</v>
      </c>
      <c r="L5">
        <v>8</v>
      </c>
      <c r="M5">
        <v>-0.5</v>
      </c>
      <c r="N5">
        <v>-3.5</v>
      </c>
      <c r="O5" s="19">
        <f t="shared" si="1"/>
        <v>1</v>
      </c>
    </row>
    <row r="6" spans="1:24" x14ac:dyDescent="0.25">
      <c r="A6" s="39"/>
      <c r="B6" s="41"/>
      <c r="C6" t="s">
        <v>1216</v>
      </c>
      <c r="D6" t="s">
        <v>271</v>
      </c>
      <c r="E6" s="3">
        <f t="shared" si="0"/>
        <v>2</v>
      </c>
      <c r="F6">
        <v>37.6</v>
      </c>
      <c r="G6">
        <v>4</v>
      </c>
      <c r="H6">
        <v>11.32</v>
      </c>
      <c r="I6">
        <v>2.82</v>
      </c>
      <c r="J6">
        <v>-0.18</v>
      </c>
      <c r="K6">
        <v>2</v>
      </c>
      <c r="L6">
        <v>8</v>
      </c>
      <c r="M6">
        <v>-0.5</v>
      </c>
      <c r="N6">
        <v>-3.5</v>
      </c>
      <c r="O6" s="19">
        <f t="shared" si="1"/>
        <v>1</v>
      </c>
    </row>
    <row r="7" spans="1:24" x14ac:dyDescent="0.25">
      <c r="A7" s="39"/>
      <c r="B7" s="41"/>
      <c r="C7" t="s">
        <v>1217</v>
      </c>
      <c r="D7" t="s">
        <v>271</v>
      </c>
      <c r="E7" s="3">
        <f t="shared" si="0"/>
        <v>2</v>
      </c>
      <c r="F7">
        <v>37.6</v>
      </c>
      <c r="G7">
        <v>4</v>
      </c>
      <c r="H7">
        <v>11.32</v>
      </c>
      <c r="I7">
        <v>2.82</v>
      </c>
      <c r="J7">
        <v>-0.18</v>
      </c>
      <c r="K7">
        <v>2</v>
      </c>
      <c r="L7">
        <v>8</v>
      </c>
      <c r="M7">
        <v>-0.5</v>
      </c>
      <c r="N7">
        <v>-3.5</v>
      </c>
      <c r="O7" s="19">
        <f t="shared" si="1"/>
        <v>1</v>
      </c>
      <c r="R7" s="37" t="s">
        <v>0</v>
      </c>
      <c r="S7" s="38"/>
      <c r="T7" s="38"/>
      <c r="U7" s="38"/>
      <c r="V7" s="38"/>
      <c r="W7" s="38"/>
      <c r="X7" s="26"/>
    </row>
    <row r="8" spans="1:24" x14ac:dyDescent="0.25">
      <c r="A8" s="39"/>
      <c r="B8" s="41"/>
      <c r="C8" t="s">
        <v>1218</v>
      </c>
      <c r="D8" t="s">
        <v>271</v>
      </c>
      <c r="E8" s="3">
        <f t="shared" si="0"/>
        <v>2</v>
      </c>
      <c r="F8">
        <v>37.6</v>
      </c>
      <c r="G8">
        <v>4</v>
      </c>
      <c r="H8">
        <v>11.32</v>
      </c>
      <c r="I8">
        <v>2.82</v>
      </c>
      <c r="J8">
        <v>-0.18</v>
      </c>
      <c r="K8">
        <v>2</v>
      </c>
      <c r="L8">
        <v>8</v>
      </c>
      <c r="M8">
        <v>-0.5</v>
      </c>
      <c r="N8">
        <v>-3.5</v>
      </c>
      <c r="O8" s="19">
        <f t="shared" si="1"/>
        <v>1</v>
      </c>
      <c r="R8" s="1"/>
      <c r="S8" s="30" t="s">
        <v>1460</v>
      </c>
      <c r="T8" s="30"/>
      <c r="U8" s="30" t="s">
        <v>1461</v>
      </c>
      <c r="V8" s="30"/>
      <c r="W8" s="30" t="s">
        <v>1462</v>
      </c>
      <c r="X8" s="30"/>
    </row>
    <row r="9" spans="1:24" x14ac:dyDescent="0.25">
      <c r="A9" s="39"/>
      <c r="B9" s="41"/>
      <c r="C9" t="s">
        <v>1219</v>
      </c>
      <c r="D9" t="s">
        <v>271</v>
      </c>
      <c r="E9" s="3">
        <f t="shared" si="0"/>
        <v>2</v>
      </c>
      <c r="F9">
        <v>37.6</v>
      </c>
      <c r="G9">
        <v>4</v>
      </c>
      <c r="H9">
        <v>11.32</v>
      </c>
      <c r="I9">
        <v>2.82</v>
      </c>
      <c r="J9">
        <v>-0.18</v>
      </c>
      <c r="K9">
        <v>2</v>
      </c>
      <c r="L9">
        <v>8</v>
      </c>
      <c r="M9">
        <v>-0.5</v>
      </c>
      <c r="N9">
        <v>-3.5</v>
      </c>
      <c r="O9" s="19">
        <f t="shared" si="1"/>
        <v>1</v>
      </c>
      <c r="R9" s="1" t="s">
        <v>1488</v>
      </c>
      <c r="S9" s="35">
        <f>AVERAGE(E$2:E$21)</f>
        <v>2</v>
      </c>
      <c r="T9" s="36"/>
      <c r="U9" s="35">
        <f>AVERAGE(E$22:E$41)</f>
        <v>3</v>
      </c>
      <c r="V9" s="26"/>
      <c r="W9" s="35">
        <f>AVERAGE(E$42:E$61)</f>
        <v>4</v>
      </c>
      <c r="X9" s="26"/>
    </row>
    <row r="10" spans="1:24" x14ac:dyDescent="0.25">
      <c r="A10" s="39"/>
      <c r="B10" s="41"/>
      <c r="C10" t="s">
        <v>1220</v>
      </c>
      <c r="D10" t="s">
        <v>271</v>
      </c>
      <c r="E10" s="3">
        <f t="shared" si="0"/>
        <v>2</v>
      </c>
      <c r="F10">
        <v>37.6</v>
      </c>
      <c r="G10">
        <v>4</v>
      </c>
      <c r="H10">
        <v>11.32</v>
      </c>
      <c r="I10">
        <v>2.82</v>
      </c>
      <c r="J10">
        <v>-0.18</v>
      </c>
      <c r="K10">
        <v>2</v>
      </c>
      <c r="L10">
        <v>8</v>
      </c>
      <c r="M10">
        <v>-0.5</v>
      </c>
      <c r="N10">
        <v>-3.5</v>
      </c>
      <c r="O10" s="19">
        <f t="shared" si="1"/>
        <v>1</v>
      </c>
      <c r="R10" s="1" t="s">
        <v>1463</v>
      </c>
      <c r="S10" s="35">
        <f>AVERAGE(G$2:G$21)</f>
        <v>4</v>
      </c>
      <c r="T10" s="26"/>
      <c r="U10" s="35">
        <f>AVERAGE(G$22:G$41)</f>
        <v>4</v>
      </c>
      <c r="V10" s="26"/>
      <c r="W10" s="35">
        <f>AVERAGE(G$42:G$61)</f>
        <v>4</v>
      </c>
      <c r="X10" s="26"/>
    </row>
    <row r="11" spans="1:24" x14ac:dyDescent="0.25">
      <c r="A11" s="39"/>
      <c r="B11" s="41"/>
      <c r="C11" t="s">
        <v>1221</v>
      </c>
      <c r="D11" t="s">
        <v>271</v>
      </c>
      <c r="E11" s="3">
        <f t="shared" si="0"/>
        <v>2</v>
      </c>
      <c r="F11">
        <v>37.6</v>
      </c>
      <c r="G11">
        <v>4</v>
      </c>
      <c r="H11">
        <v>11.32</v>
      </c>
      <c r="I11">
        <v>2.82</v>
      </c>
      <c r="J11">
        <v>-0.18</v>
      </c>
      <c r="K11">
        <v>2</v>
      </c>
      <c r="L11">
        <v>8</v>
      </c>
      <c r="M11">
        <v>-0.5</v>
      </c>
      <c r="N11">
        <v>-3.5</v>
      </c>
      <c r="O11" s="19">
        <f t="shared" si="1"/>
        <v>1</v>
      </c>
      <c r="R11" s="1" t="s">
        <v>1464</v>
      </c>
      <c r="S11" s="24">
        <f>AVERAGE(H$2:H$21)</f>
        <v>11.319999999999997</v>
      </c>
      <c r="T11" s="26"/>
      <c r="U11" s="24">
        <f>AVERAGE(H$22:H$41)</f>
        <v>16.98</v>
      </c>
      <c r="V11" s="25"/>
      <c r="W11" s="24">
        <f>AVERAGE(H$42:H$61)</f>
        <v>22.639999999999993</v>
      </c>
      <c r="X11" s="25"/>
    </row>
    <row r="12" spans="1:24" x14ac:dyDescent="0.25">
      <c r="A12" s="39"/>
      <c r="B12" s="41"/>
      <c r="C12" t="s">
        <v>1222</v>
      </c>
      <c r="D12" t="s">
        <v>271</v>
      </c>
      <c r="E12" s="3">
        <f t="shared" si="0"/>
        <v>2</v>
      </c>
      <c r="F12">
        <v>37.6</v>
      </c>
      <c r="G12">
        <v>4</v>
      </c>
      <c r="H12">
        <v>11.32</v>
      </c>
      <c r="I12">
        <v>2.82</v>
      </c>
      <c r="J12">
        <v>-0.18</v>
      </c>
      <c r="K12">
        <v>2</v>
      </c>
      <c r="L12">
        <v>8</v>
      </c>
      <c r="M12">
        <v>-0.5</v>
      </c>
      <c r="N12">
        <v>-3.5</v>
      </c>
      <c r="O12" s="19">
        <f t="shared" si="1"/>
        <v>1</v>
      </c>
      <c r="R12" s="1" t="s">
        <v>1465</v>
      </c>
      <c r="S12" s="24">
        <f>AVERAGE(I$2:I$21)</f>
        <v>2.82</v>
      </c>
      <c r="T12" s="26"/>
      <c r="U12" s="24">
        <f>AVERAGE(I$22:I$41)</f>
        <v>8.48</v>
      </c>
      <c r="V12" s="25"/>
      <c r="W12" s="24">
        <f>AVERAGE(I$42:I$61)</f>
        <v>14.139999999999995</v>
      </c>
      <c r="X12" s="25"/>
    </row>
    <row r="13" spans="1:24" x14ac:dyDescent="0.25">
      <c r="A13" s="39"/>
      <c r="B13" s="41"/>
      <c r="C13" t="s">
        <v>1223</v>
      </c>
      <c r="D13" t="s">
        <v>271</v>
      </c>
      <c r="E13" s="3">
        <f t="shared" si="0"/>
        <v>2</v>
      </c>
      <c r="F13">
        <v>37.6</v>
      </c>
      <c r="G13">
        <v>4</v>
      </c>
      <c r="H13">
        <v>11.32</v>
      </c>
      <c r="I13">
        <v>2.82</v>
      </c>
      <c r="J13">
        <v>-0.18</v>
      </c>
      <c r="K13">
        <v>2</v>
      </c>
      <c r="L13">
        <v>8</v>
      </c>
      <c r="M13">
        <v>-0.5</v>
      </c>
      <c r="N13">
        <v>-3.5</v>
      </c>
      <c r="O13" s="19">
        <f t="shared" si="1"/>
        <v>1</v>
      </c>
      <c r="R13" s="1" t="s">
        <v>1466</v>
      </c>
      <c r="S13" s="24">
        <f>AVERAGE(J$2:J$21)</f>
        <v>-0.18000000000000005</v>
      </c>
      <c r="T13" s="26"/>
      <c r="U13" s="24">
        <f>AVERAGE(J$22:J$41)</f>
        <v>5.4800000000000022</v>
      </c>
      <c r="V13" s="25"/>
      <c r="W13" s="24">
        <f>AVERAGE(J$42:J$61)</f>
        <v>11.139999999999995</v>
      </c>
      <c r="X13" s="25"/>
    </row>
    <row r="14" spans="1:24" x14ac:dyDescent="0.25">
      <c r="A14" s="39"/>
      <c r="B14" s="41"/>
      <c r="C14" t="s">
        <v>1224</v>
      </c>
      <c r="D14" t="s">
        <v>271</v>
      </c>
      <c r="E14" s="3">
        <f t="shared" si="0"/>
        <v>2</v>
      </c>
      <c r="F14">
        <v>37.6</v>
      </c>
      <c r="G14">
        <v>4</v>
      </c>
      <c r="H14">
        <v>11.32</v>
      </c>
      <c r="I14">
        <v>2.82</v>
      </c>
      <c r="J14">
        <v>-0.18</v>
      </c>
      <c r="K14">
        <v>2</v>
      </c>
      <c r="L14">
        <v>8</v>
      </c>
      <c r="M14">
        <v>-0.5</v>
      </c>
      <c r="N14">
        <v>-3.5</v>
      </c>
      <c r="O14" s="19">
        <f t="shared" si="1"/>
        <v>1</v>
      </c>
      <c r="R14" s="1" t="s">
        <v>1512</v>
      </c>
      <c r="S14" s="35">
        <f>AVERAGE(K$2:K$21)</f>
        <v>2</v>
      </c>
      <c r="T14" s="26"/>
      <c r="U14" s="35">
        <f>AVERAGE(K$22:K$41)</f>
        <v>4</v>
      </c>
      <c r="V14" s="26"/>
      <c r="W14" s="35">
        <f>AVERAGE(K$42:K$61)</f>
        <v>4</v>
      </c>
      <c r="X14" s="26"/>
    </row>
    <row r="15" spans="1:24" x14ac:dyDescent="0.25">
      <c r="A15" s="39"/>
      <c r="B15" s="41"/>
      <c r="C15" t="s">
        <v>1225</v>
      </c>
      <c r="D15" t="s">
        <v>271</v>
      </c>
      <c r="E15" s="3">
        <f t="shared" si="0"/>
        <v>2</v>
      </c>
      <c r="F15">
        <v>37.6</v>
      </c>
      <c r="G15">
        <v>4</v>
      </c>
      <c r="H15">
        <v>11.32</v>
      </c>
      <c r="I15">
        <v>2.82</v>
      </c>
      <c r="J15">
        <v>-0.18</v>
      </c>
      <c r="K15">
        <v>2</v>
      </c>
      <c r="L15">
        <v>8</v>
      </c>
      <c r="M15">
        <v>-0.5</v>
      </c>
      <c r="N15">
        <v>-3.5</v>
      </c>
      <c r="O15" s="19">
        <f t="shared" si="1"/>
        <v>1</v>
      </c>
      <c r="R15" s="1" t="s">
        <v>1493</v>
      </c>
      <c r="S15" s="24">
        <f>AVERAGE(L$2:L$21)</f>
        <v>8</v>
      </c>
      <c r="T15" s="25"/>
      <c r="U15" s="24">
        <f>AVERAGE(L$22:L$41)</f>
        <v>11.8965</v>
      </c>
      <c r="V15" s="25"/>
      <c r="W15" s="24">
        <f>AVERAGE(L$42:L$61)</f>
        <v>15.882</v>
      </c>
      <c r="X15" s="25"/>
    </row>
    <row r="16" spans="1:24" x14ac:dyDescent="0.25">
      <c r="A16" s="39"/>
      <c r="B16" s="41"/>
      <c r="C16" t="s">
        <v>1226</v>
      </c>
      <c r="D16" t="s">
        <v>271</v>
      </c>
      <c r="E16" s="3">
        <f t="shared" si="0"/>
        <v>2</v>
      </c>
      <c r="F16">
        <v>37.6</v>
      </c>
      <c r="G16">
        <v>4</v>
      </c>
      <c r="H16">
        <v>11.32</v>
      </c>
      <c r="I16">
        <v>2.82</v>
      </c>
      <c r="J16">
        <v>-0.18</v>
      </c>
      <c r="K16">
        <v>2</v>
      </c>
      <c r="L16">
        <v>8</v>
      </c>
      <c r="M16">
        <v>-0.5</v>
      </c>
      <c r="N16">
        <v>-3.5</v>
      </c>
      <c r="O16" s="19">
        <f t="shared" si="1"/>
        <v>1</v>
      </c>
      <c r="R16" s="1" t="s">
        <v>1467</v>
      </c>
      <c r="S16" s="24">
        <f>AVERAGE(M$2:M$21)</f>
        <v>-0.5</v>
      </c>
      <c r="T16" s="25"/>
      <c r="U16" s="24">
        <f>AVERAGE(M$22:M$41)</f>
        <v>3.3965000000000005</v>
      </c>
      <c r="V16" s="25"/>
      <c r="W16" s="24">
        <f>AVERAGE(M$42:M$61)</f>
        <v>7.3819999999999997</v>
      </c>
      <c r="X16" s="25"/>
    </row>
    <row r="17" spans="1:24" x14ac:dyDescent="0.25">
      <c r="A17" s="39"/>
      <c r="B17" s="41"/>
      <c r="C17" t="s">
        <v>1227</v>
      </c>
      <c r="D17" t="s">
        <v>271</v>
      </c>
      <c r="E17" s="3">
        <f t="shared" si="0"/>
        <v>2</v>
      </c>
      <c r="F17">
        <v>37.6</v>
      </c>
      <c r="G17">
        <v>4</v>
      </c>
      <c r="H17">
        <v>11.32</v>
      </c>
      <c r="I17">
        <v>2.82</v>
      </c>
      <c r="J17">
        <v>-0.18</v>
      </c>
      <c r="K17">
        <v>2</v>
      </c>
      <c r="L17">
        <v>8</v>
      </c>
      <c r="M17">
        <v>-0.5</v>
      </c>
      <c r="N17">
        <v>-3.5</v>
      </c>
      <c r="O17" s="19">
        <f t="shared" si="1"/>
        <v>1</v>
      </c>
      <c r="R17" s="1" t="s">
        <v>1468</v>
      </c>
      <c r="S17" s="24">
        <f>AVERAGE(N$2:N$21)</f>
        <v>-3.5</v>
      </c>
      <c r="T17" s="25"/>
      <c r="U17" s="24">
        <f>AVERAGE(N$22:N$41)</f>
        <v>0.39649999999999996</v>
      </c>
      <c r="V17" s="25"/>
      <c r="W17" s="24">
        <f>AVERAGE(N$42:N$61)</f>
        <v>4.3819999999999997</v>
      </c>
      <c r="X17" s="25"/>
    </row>
    <row r="18" spans="1:24" x14ac:dyDescent="0.25">
      <c r="A18" s="39"/>
      <c r="B18" s="41"/>
      <c r="C18" t="s">
        <v>1228</v>
      </c>
      <c r="D18" t="s">
        <v>271</v>
      </c>
      <c r="E18" s="3">
        <f t="shared" si="0"/>
        <v>2</v>
      </c>
      <c r="F18">
        <v>37.6</v>
      </c>
      <c r="G18">
        <v>4</v>
      </c>
      <c r="H18">
        <v>11.32</v>
      </c>
      <c r="I18">
        <v>2.82</v>
      </c>
      <c r="J18">
        <v>-0.18</v>
      </c>
      <c r="K18">
        <v>2</v>
      </c>
      <c r="L18">
        <v>8</v>
      </c>
      <c r="M18">
        <v>-0.5</v>
      </c>
      <c r="N18">
        <v>-3.5</v>
      </c>
      <c r="O18" s="19">
        <f t="shared" si="1"/>
        <v>1</v>
      </c>
      <c r="R18" s="1" t="s">
        <v>1510</v>
      </c>
      <c r="S18" s="24">
        <f>AVERAGE(O$2:O$21)</f>
        <v>1</v>
      </c>
      <c r="T18" s="25"/>
      <c r="U18" s="24">
        <f>AVERAGE(O$22:O$41)</f>
        <v>0.75</v>
      </c>
      <c r="V18" s="25"/>
      <c r="W18" s="24">
        <f>AVERAGE(O$42:O$61)</f>
        <v>1</v>
      </c>
      <c r="X18" s="25"/>
    </row>
    <row r="19" spans="1:24" x14ac:dyDescent="0.25">
      <c r="A19" s="39"/>
      <c r="B19" s="41"/>
      <c r="C19" t="s">
        <v>1229</v>
      </c>
      <c r="D19" t="s">
        <v>271</v>
      </c>
      <c r="E19" s="3">
        <f t="shared" si="0"/>
        <v>2</v>
      </c>
      <c r="F19">
        <v>37.6</v>
      </c>
      <c r="G19">
        <v>4</v>
      </c>
      <c r="H19">
        <v>11.32</v>
      </c>
      <c r="I19">
        <v>2.82</v>
      </c>
      <c r="J19">
        <v>-0.18</v>
      </c>
      <c r="K19">
        <v>2</v>
      </c>
      <c r="L19">
        <v>8</v>
      </c>
      <c r="M19">
        <v>-0.5</v>
      </c>
      <c r="N19">
        <v>-3.5</v>
      </c>
      <c r="O19" s="19">
        <f t="shared" si="1"/>
        <v>1</v>
      </c>
    </row>
    <row r="20" spans="1:24" x14ac:dyDescent="0.25">
      <c r="A20" s="39"/>
      <c r="B20" s="41"/>
      <c r="C20" t="s">
        <v>1230</v>
      </c>
      <c r="D20" t="s">
        <v>271</v>
      </c>
      <c r="E20" s="3">
        <f t="shared" si="0"/>
        <v>2</v>
      </c>
      <c r="F20">
        <v>37.6</v>
      </c>
      <c r="G20">
        <v>4</v>
      </c>
      <c r="H20">
        <v>11.32</v>
      </c>
      <c r="I20">
        <v>2.82</v>
      </c>
      <c r="J20">
        <v>-0.18</v>
      </c>
      <c r="K20">
        <v>2</v>
      </c>
      <c r="L20">
        <v>8</v>
      </c>
      <c r="M20">
        <v>-0.5</v>
      </c>
      <c r="N20">
        <v>-3.5</v>
      </c>
      <c r="O20" s="19">
        <f t="shared" si="1"/>
        <v>1</v>
      </c>
      <c r="R20" s="37" t="s">
        <v>1</v>
      </c>
      <c r="S20" s="38"/>
      <c r="T20" s="38"/>
      <c r="U20" s="38"/>
      <c r="V20" s="38"/>
      <c r="W20" s="38"/>
      <c r="X20" s="26"/>
    </row>
    <row r="21" spans="1:24" x14ac:dyDescent="0.25">
      <c r="A21" s="39"/>
      <c r="B21" s="42"/>
      <c r="C21" s="10" t="s">
        <v>1231</v>
      </c>
      <c r="D21" s="10" t="s">
        <v>271</v>
      </c>
      <c r="E21" s="11">
        <f t="shared" si="0"/>
        <v>2</v>
      </c>
      <c r="F21" s="10">
        <v>37.6</v>
      </c>
      <c r="G21" s="10">
        <v>4</v>
      </c>
      <c r="H21" s="10">
        <v>11.32</v>
      </c>
      <c r="I21" s="10">
        <v>2.82</v>
      </c>
      <c r="J21" s="10">
        <v>-0.18</v>
      </c>
      <c r="K21" s="10">
        <v>2</v>
      </c>
      <c r="L21" s="10">
        <v>8</v>
      </c>
      <c r="M21" s="10">
        <v>-0.5</v>
      </c>
      <c r="N21" s="10">
        <v>-3.5</v>
      </c>
      <c r="O21" s="20">
        <f t="shared" si="1"/>
        <v>1</v>
      </c>
      <c r="R21" s="1"/>
      <c r="S21" s="17" t="s">
        <v>1460</v>
      </c>
      <c r="T21" s="16"/>
      <c r="U21" s="17" t="s">
        <v>1461</v>
      </c>
      <c r="V21" s="16"/>
      <c r="W21" s="17" t="s">
        <v>1462</v>
      </c>
      <c r="X21" s="16"/>
    </row>
    <row r="22" spans="1:24" x14ac:dyDescent="0.25">
      <c r="A22" s="39"/>
      <c r="B22" s="40" t="s">
        <v>6</v>
      </c>
      <c r="C22" s="7" t="s">
        <v>1233</v>
      </c>
      <c r="D22" s="7" t="s">
        <v>1232</v>
      </c>
      <c r="E22" s="8">
        <f t="shared" si="0"/>
        <v>3</v>
      </c>
      <c r="F22" s="7">
        <v>56.41</v>
      </c>
      <c r="G22" s="7">
        <v>4</v>
      </c>
      <c r="H22" s="7">
        <v>16.98</v>
      </c>
      <c r="I22" s="7">
        <v>8.48</v>
      </c>
      <c r="J22" s="7">
        <v>5.48</v>
      </c>
      <c r="K22" s="7">
        <v>4</v>
      </c>
      <c r="L22" s="7">
        <v>12</v>
      </c>
      <c r="M22" s="7">
        <v>3.5</v>
      </c>
      <c r="N22" s="7">
        <v>0.5</v>
      </c>
      <c r="O22" s="18">
        <f t="shared" si="1"/>
        <v>0.75</v>
      </c>
      <c r="R22" s="1" t="s">
        <v>1488</v>
      </c>
      <c r="S22" s="35">
        <f>AVERAGE(E$62:E$81)</f>
        <v>2</v>
      </c>
      <c r="T22" s="36"/>
      <c r="U22" s="35">
        <f>AVERAGE(E$82:E$101)</f>
        <v>3</v>
      </c>
      <c r="V22" s="36"/>
      <c r="W22" s="35">
        <f>AVERAGE(E$102:E$121)</f>
        <v>4</v>
      </c>
      <c r="X22" s="36"/>
    </row>
    <row r="23" spans="1:24" x14ac:dyDescent="0.25">
      <c r="A23" s="39"/>
      <c r="B23" s="41"/>
      <c r="C23" t="s">
        <v>1234</v>
      </c>
      <c r="D23" t="s">
        <v>1232</v>
      </c>
      <c r="E23" s="3">
        <f t="shared" si="0"/>
        <v>3</v>
      </c>
      <c r="F23">
        <v>56.41</v>
      </c>
      <c r="G23">
        <v>4</v>
      </c>
      <c r="H23">
        <v>16.98</v>
      </c>
      <c r="I23">
        <v>8.48</v>
      </c>
      <c r="J23">
        <v>5.48</v>
      </c>
      <c r="K23">
        <v>4</v>
      </c>
      <c r="L23">
        <v>11.08</v>
      </c>
      <c r="M23">
        <v>2.58</v>
      </c>
      <c r="N23">
        <v>-0.42</v>
      </c>
      <c r="O23" s="19">
        <f t="shared" si="1"/>
        <v>0.75</v>
      </c>
      <c r="R23" s="1" t="s">
        <v>1463</v>
      </c>
      <c r="S23" s="35">
        <f>AVERAGE(G$62:G$81)</f>
        <v>4</v>
      </c>
      <c r="T23" s="26"/>
      <c r="U23" s="35">
        <f>AVERAGE(G$82:G$101)</f>
        <v>4</v>
      </c>
      <c r="V23" s="26"/>
      <c r="W23" s="35">
        <f>AVERAGE(G$102:G$121)</f>
        <v>4</v>
      </c>
      <c r="X23" s="26"/>
    </row>
    <row r="24" spans="1:24" x14ac:dyDescent="0.25">
      <c r="A24" s="39"/>
      <c r="B24" s="41"/>
      <c r="C24" t="s">
        <v>1235</v>
      </c>
      <c r="D24" t="s">
        <v>1232</v>
      </c>
      <c r="E24" s="3">
        <f t="shared" si="0"/>
        <v>3</v>
      </c>
      <c r="F24">
        <v>56.41</v>
      </c>
      <c r="G24">
        <v>4</v>
      </c>
      <c r="H24">
        <v>16.98</v>
      </c>
      <c r="I24">
        <v>8.48</v>
      </c>
      <c r="J24">
        <v>5.48</v>
      </c>
      <c r="K24">
        <v>4</v>
      </c>
      <c r="L24">
        <v>12</v>
      </c>
      <c r="M24">
        <v>3.5</v>
      </c>
      <c r="N24">
        <v>0.5</v>
      </c>
      <c r="O24" s="19">
        <f t="shared" si="1"/>
        <v>0.75</v>
      </c>
      <c r="R24" s="1" t="s">
        <v>1464</v>
      </c>
      <c r="S24" s="24">
        <f>AVERAGE(H$62:H$81)</f>
        <v>13.729999999999999</v>
      </c>
      <c r="T24" s="26"/>
      <c r="U24" s="24">
        <f>AVERAGE(H$82:H$101)</f>
        <v>20.589999999999993</v>
      </c>
      <c r="V24" s="26"/>
      <c r="W24" s="24">
        <f>AVERAGE(H$102:H$121)</f>
        <v>27.459999999999997</v>
      </c>
      <c r="X24" s="26"/>
    </row>
    <row r="25" spans="1:24" x14ac:dyDescent="0.25">
      <c r="A25" s="39"/>
      <c r="B25" s="41"/>
      <c r="C25" t="s">
        <v>1236</v>
      </c>
      <c r="D25" t="s">
        <v>1232</v>
      </c>
      <c r="E25" s="3">
        <f t="shared" si="0"/>
        <v>3</v>
      </c>
      <c r="F25">
        <v>56.41</v>
      </c>
      <c r="G25">
        <v>4</v>
      </c>
      <c r="H25">
        <v>16.98</v>
      </c>
      <c r="I25">
        <v>8.48</v>
      </c>
      <c r="J25">
        <v>5.48</v>
      </c>
      <c r="K25">
        <v>4</v>
      </c>
      <c r="L25">
        <v>11.67</v>
      </c>
      <c r="M25">
        <v>3.17</v>
      </c>
      <c r="N25">
        <v>0.17</v>
      </c>
      <c r="O25" s="19">
        <f t="shared" si="1"/>
        <v>0.75</v>
      </c>
      <c r="R25" s="1" t="s">
        <v>1465</v>
      </c>
      <c r="S25" s="24">
        <f>AVERAGE(I$62:I$81)</f>
        <v>5.2300000000000022</v>
      </c>
      <c r="T25" s="26"/>
      <c r="U25" s="24">
        <f>AVERAGE(I$82:I$101)</f>
        <v>12.090000000000002</v>
      </c>
      <c r="V25" s="26"/>
      <c r="W25" s="24">
        <f>AVERAGE(I$102:I$121)</f>
        <v>18.959999999999997</v>
      </c>
      <c r="X25" s="26"/>
    </row>
    <row r="26" spans="1:24" x14ac:dyDescent="0.25">
      <c r="A26" s="39"/>
      <c r="B26" s="41"/>
      <c r="C26" t="s">
        <v>1237</v>
      </c>
      <c r="D26" t="s">
        <v>1232</v>
      </c>
      <c r="E26" s="3">
        <f t="shared" si="0"/>
        <v>3</v>
      </c>
      <c r="F26">
        <v>56.41</v>
      </c>
      <c r="G26">
        <v>4</v>
      </c>
      <c r="H26">
        <v>16.98</v>
      </c>
      <c r="I26">
        <v>8.48</v>
      </c>
      <c r="J26">
        <v>5.48</v>
      </c>
      <c r="K26">
        <v>4</v>
      </c>
      <c r="L26">
        <v>12</v>
      </c>
      <c r="M26">
        <v>3.5</v>
      </c>
      <c r="N26">
        <v>0.5</v>
      </c>
      <c r="O26" s="19">
        <f t="shared" si="1"/>
        <v>0.75</v>
      </c>
      <c r="R26" s="1" t="s">
        <v>1466</v>
      </c>
      <c r="S26" s="24">
        <f>AVERAGE(J$62:J$81)</f>
        <v>2.2299999999999995</v>
      </c>
      <c r="T26" s="26"/>
      <c r="U26" s="24">
        <f>AVERAGE(J$82:J$101)</f>
        <v>9.0900000000000016</v>
      </c>
      <c r="V26" s="26"/>
      <c r="W26" s="24">
        <f>AVERAGE(J$102:J$121)</f>
        <v>15.960000000000003</v>
      </c>
      <c r="X26" s="26"/>
    </row>
    <row r="27" spans="1:24" x14ac:dyDescent="0.25">
      <c r="A27" s="39"/>
      <c r="B27" s="41"/>
      <c r="C27" t="s">
        <v>1238</v>
      </c>
      <c r="D27" t="s">
        <v>1232</v>
      </c>
      <c r="E27" s="3">
        <f t="shared" si="0"/>
        <v>3</v>
      </c>
      <c r="F27">
        <v>56.41</v>
      </c>
      <c r="G27">
        <v>4</v>
      </c>
      <c r="H27">
        <v>16.98</v>
      </c>
      <c r="I27">
        <v>8.48</v>
      </c>
      <c r="J27">
        <v>5.48</v>
      </c>
      <c r="K27">
        <v>4</v>
      </c>
      <c r="L27">
        <v>12</v>
      </c>
      <c r="M27">
        <v>3.5</v>
      </c>
      <c r="N27">
        <v>0.5</v>
      </c>
      <c r="O27" s="19">
        <f t="shared" si="1"/>
        <v>0.75</v>
      </c>
      <c r="R27" s="1" t="s">
        <v>1512</v>
      </c>
      <c r="S27" s="35">
        <f>AVERAGE(K$62:K$81)</f>
        <v>2</v>
      </c>
      <c r="T27" s="26"/>
      <c r="U27" s="35">
        <f>AVERAGE(K$82:K$101)</f>
        <v>4</v>
      </c>
      <c r="V27" s="26"/>
      <c r="W27" s="35">
        <f>AVERAGE(K$102:K$121)</f>
        <v>4</v>
      </c>
      <c r="X27" s="26"/>
    </row>
    <row r="28" spans="1:24" x14ac:dyDescent="0.25">
      <c r="A28" s="39"/>
      <c r="B28" s="41"/>
      <c r="C28" t="s">
        <v>1239</v>
      </c>
      <c r="D28" t="s">
        <v>1232</v>
      </c>
      <c r="E28" s="3">
        <f t="shared" si="0"/>
        <v>3</v>
      </c>
      <c r="F28">
        <v>56.41</v>
      </c>
      <c r="G28">
        <v>4</v>
      </c>
      <c r="H28">
        <v>16.98</v>
      </c>
      <c r="I28">
        <v>8.48</v>
      </c>
      <c r="J28">
        <v>5.48</v>
      </c>
      <c r="K28">
        <v>4</v>
      </c>
      <c r="L28">
        <v>11.7</v>
      </c>
      <c r="M28">
        <v>3.2</v>
      </c>
      <c r="N28">
        <v>0.2</v>
      </c>
      <c r="O28" s="19">
        <f t="shared" si="1"/>
        <v>0.75</v>
      </c>
      <c r="R28" s="1" t="s">
        <v>1493</v>
      </c>
      <c r="S28" s="24">
        <f>AVERAGE(L$62:L$81)</f>
        <v>8</v>
      </c>
      <c r="T28" s="25"/>
      <c r="U28" s="24">
        <f>AVERAGE(L$82:L$101)</f>
        <v>11.9885</v>
      </c>
      <c r="V28" s="25"/>
      <c r="W28" s="24">
        <f>AVERAGE(L$102:L$121)</f>
        <v>15.974500000000001</v>
      </c>
      <c r="X28" s="25"/>
    </row>
    <row r="29" spans="1:24" x14ac:dyDescent="0.25">
      <c r="A29" s="39"/>
      <c r="B29" s="41"/>
      <c r="C29" t="s">
        <v>1240</v>
      </c>
      <c r="D29" t="s">
        <v>1232</v>
      </c>
      <c r="E29" s="3">
        <f t="shared" si="0"/>
        <v>3</v>
      </c>
      <c r="F29">
        <v>56.41</v>
      </c>
      <c r="G29">
        <v>4</v>
      </c>
      <c r="H29">
        <v>16.98</v>
      </c>
      <c r="I29">
        <v>8.48</v>
      </c>
      <c r="J29">
        <v>5.48</v>
      </c>
      <c r="K29">
        <v>4</v>
      </c>
      <c r="L29">
        <v>12</v>
      </c>
      <c r="M29">
        <v>3.5</v>
      </c>
      <c r="N29">
        <v>0.5</v>
      </c>
      <c r="O29" s="19">
        <f t="shared" si="1"/>
        <v>0.75</v>
      </c>
      <c r="R29" s="1" t="s">
        <v>1467</v>
      </c>
      <c r="S29" s="24">
        <f>AVERAGE(M$62:M$81)</f>
        <v>-0.5</v>
      </c>
      <c r="T29" s="25"/>
      <c r="U29" s="24">
        <f>AVERAGE(M$82:M$101)</f>
        <v>3.4885000000000006</v>
      </c>
      <c r="V29" s="25"/>
      <c r="W29" s="24">
        <f>AVERAGE(M$102:M$121)</f>
        <v>7.4749999999999996</v>
      </c>
      <c r="X29" s="25"/>
    </row>
    <row r="30" spans="1:24" x14ac:dyDescent="0.25">
      <c r="A30" s="39"/>
      <c r="B30" s="41"/>
      <c r="C30" t="s">
        <v>1241</v>
      </c>
      <c r="D30" t="s">
        <v>1232</v>
      </c>
      <c r="E30" s="3">
        <f t="shared" si="0"/>
        <v>3</v>
      </c>
      <c r="F30">
        <v>56.41</v>
      </c>
      <c r="G30">
        <v>4</v>
      </c>
      <c r="H30">
        <v>16.98</v>
      </c>
      <c r="I30">
        <v>8.48</v>
      </c>
      <c r="J30">
        <v>5.48</v>
      </c>
      <c r="K30">
        <v>4</v>
      </c>
      <c r="L30">
        <v>12</v>
      </c>
      <c r="M30">
        <v>3.5</v>
      </c>
      <c r="N30">
        <v>0.5</v>
      </c>
      <c r="O30" s="19">
        <f t="shared" si="1"/>
        <v>0.75</v>
      </c>
      <c r="R30" s="1" t="s">
        <v>1468</v>
      </c>
      <c r="S30" s="24">
        <f>AVERAGE(N$62:N$81)</f>
        <v>-3.5</v>
      </c>
      <c r="T30" s="25"/>
      <c r="U30" s="24">
        <f>AVERAGE(N$82:N$101)</f>
        <v>0.48849999999999999</v>
      </c>
      <c r="V30" s="25"/>
      <c r="W30" s="24">
        <f>AVERAGE(N$102:N$121)</f>
        <v>4.4749999999999996</v>
      </c>
      <c r="X30" s="25"/>
    </row>
    <row r="31" spans="1:24" x14ac:dyDescent="0.25">
      <c r="A31" s="39"/>
      <c r="B31" s="41"/>
      <c r="C31" t="s">
        <v>1242</v>
      </c>
      <c r="D31" t="s">
        <v>1232</v>
      </c>
      <c r="E31" s="3">
        <f t="shared" si="0"/>
        <v>3</v>
      </c>
      <c r="F31">
        <v>56.41</v>
      </c>
      <c r="G31">
        <v>4</v>
      </c>
      <c r="H31">
        <v>16.98</v>
      </c>
      <c r="I31">
        <v>8.48</v>
      </c>
      <c r="J31">
        <v>5.48</v>
      </c>
      <c r="K31">
        <v>4</v>
      </c>
      <c r="L31">
        <v>12</v>
      </c>
      <c r="M31">
        <v>3.5</v>
      </c>
      <c r="N31">
        <v>0.5</v>
      </c>
      <c r="O31" s="19">
        <f t="shared" si="1"/>
        <v>0.75</v>
      </c>
      <c r="R31" s="1" t="s">
        <v>1510</v>
      </c>
      <c r="S31" s="24">
        <f>AVERAGE(O$62:O$81)</f>
        <v>1</v>
      </c>
      <c r="T31" s="25"/>
      <c r="U31" s="24">
        <f>AVERAGE(O$82:O$101)</f>
        <v>0.75</v>
      </c>
      <c r="V31" s="25"/>
      <c r="W31" s="24">
        <f>AVERAGE(O$102:O$121)</f>
        <v>1</v>
      </c>
      <c r="X31" s="25"/>
    </row>
    <row r="32" spans="1:24" x14ac:dyDescent="0.25">
      <c r="A32" s="39"/>
      <c r="B32" s="41"/>
      <c r="C32" t="s">
        <v>1243</v>
      </c>
      <c r="D32" t="s">
        <v>1232</v>
      </c>
      <c r="E32" s="3">
        <f t="shared" si="0"/>
        <v>3</v>
      </c>
      <c r="F32">
        <v>56.41</v>
      </c>
      <c r="G32">
        <v>4</v>
      </c>
      <c r="H32">
        <v>16.98</v>
      </c>
      <c r="I32">
        <v>8.48</v>
      </c>
      <c r="J32">
        <v>5.48</v>
      </c>
      <c r="K32">
        <v>4</v>
      </c>
      <c r="L32">
        <v>11.48</v>
      </c>
      <c r="M32">
        <v>2.98</v>
      </c>
      <c r="N32">
        <v>-0.02</v>
      </c>
      <c r="O32" s="19">
        <f t="shared" si="1"/>
        <v>0.75</v>
      </c>
    </row>
    <row r="33" spans="1:24" x14ac:dyDescent="0.25">
      <c r="A33" s="39"/>
      <c r="B33" s="41"/>
      <c r="C33" t="s">
        <v>1244</v>
      </c>
      <c r="D33" t="s">
        <v>1232</v>
      </c>
      <c r="E33" s="3">
        <f t="shared" si="0"/>
        <v>3</v>
      </c>
      <c r="F33">
        <v>56.41</v>
      </c>
      <c r="G33">
        <v>4</v>
      </c>
      <c r="H33">
        <v>16.98</v>
      </c>
      <c r="I33">
        <v>8.48</v>
      </c>
      <c r="J33">
        <v>5.48</v>
      </c>
      <c r="K33">
        <v>4</v>
      </c>
      <c r="L33">
        <v>12</v>
      </c>
      <c r="M33">
        <v>3.5</v>
      </c>
      <c r="N33">
        <v>0.5</v>
      </c>
      <c r="O33" s="19">
        <f t="shared" si="1"/>
        <v>0.75</v>
      </c>
      <c r="R33" s="37" t="s">
        <v>2</v>
      </c>
      <c r="S33" s="38"/>
      <c r="T33" s="38"/>
      <c r="U33" s="38"/>
      <c r="V33" s="38"/>
      <c r="W33" s="38"/>
      <c r="X33" s="26"/>
    </row>
    <row r="34" spans="1:24" x14ac:dyDescent="0.25">
      <c r="A34" s="39"/>
      <c r="B34" s="41"/>
      <c r="C34" t="s">
        <v>1245</v>
      </c>
      <c r="D34" t="s">
        <v>1232</v>
      </c>
      <c r="E34" s="3">
        <f t="shared" si="0"/>
        <v>3</v>
      </c>
      <c r="F34">
        <v>56.41</v>
      </c>
      <c r="G34">
        <v>4</v>
      </c>
      <c r="H34">
        <v>16.98</v>
      </c>
      <c r="I34">
        <v>8.48</v>
      </c>
      <c r="J34">
        <v>5.48</v>
      </c>
      <c r="K34">
        <v>4</v>
      </c>
      <c r="L34">
        <v>12</v>
      </c>
      <c r="M34">
        <v>3.5</v>
      </c>
      <c r="N34">
        <v>0.5</v>
      </c>
      <c r="O34" s="19">
        <f t="shared" si="1"/>
        <v>0.75</v>
      </c>
      <c r="R34" s="1"/>
      <c r="S34" s="17" t="s">
        <v>1460</v>
      </c>
      <c r="T34" s="16"/>
      <c r="U34" s="17" t="s">
        <v>1461</v>
      </c>
      <c r="V34" s="16"/>
      <c r="W34" s="17" t="s">
        <v>1462</v>
      </c>
      <c r="X34" s="16"/>
    </row>
    <row r="35" spans="1:24" x14ac:dyDescent="0.25">
      <c r="A35" s="39"/>
      <c r="B35" s="41"/>
      <c r="C35" t="s">
        <v>1246</v>
      </c>
      <c r="D35" t="s">
        <v>1232</v>
      </c>
      <c r="E35" s="3">
        <f t="shared" si="0"/>
        <v>3</v>
      </c>
      <c r="F35">
        <v>56.41</v>
      </c>
      <c r="G35">
        <v>4</v>
      </c>
      <c r="H35">
        <v>16.98</v>
      </c>
      <c r="I35">
        <v>8.48</v>
      </c>
      <c r="J35">
        <v>5.48</v>
      </c>
      <c r="K35">
        <v>4</v>
      </c>
      <c r="L35">
        <v>12</v>
      </c>
      <c r="M35">
        <v>3.5</v>
      </c>
      <c r="N35">
        <v>0.5</v>
      </c>
      <c r="O35" s="19">
        <f t="shared" si="1"/>
        <v>0.75</v>
      </c>
      <c r="R35" s="1" t="s">
        <v>1488</v>
      </c>
      <c r="S35" s="35">
        <f>AVERAGE(E$122:E$141)</f>
        <v>1.9</v>
      </c>
      <c r="T35" s="36"/>
      <c r="U35" s="35">
        <f>AVERAGE(E$142:E$161)</f>
        <v>3</v>
      </c>
      <c r="V35" s="36"/>
      <c r="W35" s="35">
        <f>AVERAGE(E$162:E$181)</f>
        <v>4</v>
      </c>
      <c r="X35" s="36"/>
    </row>
    <row r="36" spans="1:24" x14ac:dyDescent="0.25">
      <c r="A36" s="39"/>
      <c r="B36" s="41"/>
      <c r="C36" t="s">
        <v>1247</v>
      </c>
      <c r="D36" t="s">
        <v>1232</v>
      </c>
      <c r="E36" s="3">
        <f t="shared" si="0"/>
        <v>3</v>
      </c>
      <c r="F36">
        <v>56.41</v>
      </c>
      <c r="G36">
        <v>4</v>
      </c>
      <c r="H36">
        <v>16.98</v>
      </c>
      <c r="I36">
        <v>8.48</v>
      </c>
      <c r="J36">
        <v>5.48</v>
      </c>
      <c r="K36">
        <v>4</v>
      </c>
      <c r="L36">
        <v>12</v>
      </c>
      <c r="M36">
        <v>3.5</v>
      </c>
      <c r="N36">
        <v>0.5</v>
      </c>
      <c r="O36" s="19">
        <f t="shared" si="1"/>
        <v>0.75</v>
      </c>
      <c r="R36" s="1" t="s">
        <v>1463</v>
      </c>
      <c r="S36" s="35">
        <f>AVERAGE(G$122:G$141)</f>
        <v>4</v>
      </c>
      <c r="T36" s="26"/>
      <c r="U36" s="35">
        <f>AVERAGE(G$142:G$161)</f>
        <v>4</v>
      </c>
      <c r="V36" s="26"/>
      <c r="W36" s="35">
        <f>AVERAGE(G$162:G$181)</f>
        <v>4</v>
      </c>
      <c r="X36" s="26"/>
    </row>
    <row r="37" spans="1:24" x14ac:dyDescent="0.25">
      <c r="A37" s="39"/>
      <c r="B37" s="41"/>
      <c r="C37" t="s">
        <v>1248</v>
      </c>
      <c r="D37" t="s">
        <v>1232</v>
      </c>
      <c r="E37" s="3">
        <f t="shared" si="0"/>
        <v>3</v>
      </c>
      <c r="F37">
        <v>56.41</v>
      </c>
      <c r="G37">
        <v>4</v>
      </c>
      <c r="H37">
        <v>16.98</v>
      </c>
      <c r="I37">
        <v>8.48</v>
      </c>
      <c r="J37">
        <v>5.48</v>
      </c>
      <c r="K37">
        <v>4</v>
      </c>
      <c r="L37">
        <v>12</v>
      </c>
      <c r="M37">
        <v>3.5</v>
      </c>
      <c r="N37">
        <v>0.5</v>
      </c>
      <c r="O37" s="19">
        <f t="shared" si="1"/>
        <v>0.75</v>
      </c>
      <c r="R37" s="1" t="s">
        <v>1464</v>
      </c>
      <c r="S37" s="24">
        <f>AVERAGE(H$122:H$141)</f>
        <v>14.637999999999996</v>
      </c>
      <c r="T37" s="26"/>
      <c r="U37" s="24">
        <f>AVERAGE(H$142:H$161)</f>
        <v>21.957999999999995</v>
      </c>
      <c r="V37" s="26"/>
      <c r="W37" s="24">
        <f>AVERAGE(H$162:H$181)</f>
        <v>29.340999999999998</v>
      </c>
      <c r="X37" s="26"/>
    </row>
    <row r="38" spans="1:24" x14ac:dyDescent="0.25">
      <c r="A38" s="39"/>
      <c r="B38" s="41"/>
      <c r="C38" t="s">
        <v>1249</v>
      </c>
      <c r="D38" t="s">
        <v>1232</v>
      </c>
      <c r="E38" s="3">
        <f t="shared" si="0"/>
        <v>3</v>
      </c>
      <c r="F38">
        <v>56.41</v>
      </c>
      <c r="G38">
        <v>4</v>
      </c>
      <c r="H38">
        <v>16.98</v>
      </c>
      <c r="I38">
        <v>8.48</v>
      </c>
      <c r="J38">
        <v>5.48</v>
      </c>
      <c r="K38">
        <v>4</v>
      </c>
      <c r="L38">
        <v>12</v>
      </c>
      <c r="M38">
        <v>3.5</v>
      </c>
      <c r="N38">
        <v>0.5</v>
      </c>
      <c r="O38" s="19">
        <f t="shared" si="1"/>
        <v>0.75</v>
      </c>
      <c r="R38" s="1" t="s">
        <v>1465</v>
      </c>
      <c r="S38" s="24">
        <f>AVERAGE(I$122:I$141)</f>
        <v>6.142000000000003</v>
      </c>
      <c r="T38" s="26"/>
      <c r="U38" s="24">
        <f>AVERAGE(I$142:I$161)</f>
        <v>13.457999999999998</v>
      </c>
      <c r="V38" s="26"/>
      <c r="W38" s="24">
        <f>AVERAGE(I$162:I$181)</f>
        <v>20.841000000000005</v>
      </c>
      <c r="X38" s="26"/>
    </row>
    <row r="39" spans="1:24" x14ac:dyDescent="0.25">
      <c r="A39" s="39"/>
      <c r="B39" s="41"/>
      <c r="C39" t="s">
        <v>1250</v>
      </c>
      <c r="D39" t="s">
        <v>1232</v>
      </c>
      <c r="E39" s="3">
        <f t="shared" si="0"/>
        <v>3</v>
      </c>
      <c r="F39">
        <v>56.41</v>
      </c>
      <c r="G39">
        <v>4</v>
      </c>
      <c r="H39">
        <v>16.98</v>
      </c>
      <c r="I39">
        <v>8.48</v>
      </c>
      <c r="J39">
        <v>5.48</v>
      </c>
      <c r="K39">
        <v>4</v>
      </c>
      <c r="L39">
        <v>12</v>
      </c>
      <c r="M39">
        <v>3.5</v>
      </c>
      <c r="N39">
        <v>0.5</v>
      </c>
      <c r="O39" s="19">
        <f t="shared" si="1"/>
        <v>0.75</v>
      </c>
      <c r="R39" s="1" t="s">
        <v>1466</v>
      </c>
      <c r="S39" s="24">
        <f>AVERAGE(J$122:J$141)</f>
        <v>3.1419999999999995</v>
      </c>
      <c r="T39" s="26"/>
      <c r="U39" s="24">
        <f>AVERAGE(J$142:J$161)</f>
        <v>10.457999999999998</v>
      </c>
      <c r="V39" s="26"/>
      <c r="W39" s="24">
        <f>AVERAGE(J$162:J$181)</f>
        <v>17.841000000000005</v>
      </c>
      <c r="X39" s="26"/>
    </row>
    <row r="40" spans="1:24" x14ac:dyDescent="0.25">
      <c r="A40" s="39"/>
      <c r="B40" s="41"/>
      <c r="C40" t="s">
        <v>1251</v>
      </c>
      <c r="D40" t="s">
        <v>1232</v>
      </c>
      <c r="E40" s="3">
        <f t="shared" si="0"/>
        <v>3</v>
      </c>
      <c r="F40">
        <v>56.41</v>
      </c>
      <c r="G40">
        <v>4</v>
      </c>
      <c r="H40">
        <v>16.98</v>
      </c>
      <c r="I40">
        <v>8.48</v>
      </c>
      <c r="J40">
        <v>5.48</v>
      </c>
      <c r="K40">
        <v>4</v>
      </c>
      <c r="L40">
        <v>12</v>
      </c>
      <c r="M40">
        <v>3.5</v>
      </c>
      <c r="N40">
        <v>0.5</v>
      </c>
      <c r="O40" s="19">
        <f t="shared" si="1"/>
        <v>0.75</v>
      </c>
      <c r="R40" s="1" t="s">
        <v>1512</v>
      </c>
      <c r="S40" s="35">
        <f>AVERAGE(K$122:K$141)</f>
        <v>2</v>
      </c>
      <c r="T40" s="26"/>
      <c r="U40" s="35">
        <f>AVERAGE(K$142:K$161)</f>
        <v>4</v>
      </c>
      <c r="V40" s="26"/>
      <c r="W40" s="35">
        <f>AVERAGE(K$162:K$181)</f>
        <v>4</v>
      </c>
      <c r="X40" s="26"/>
    </row>
    <row r="41" spans="1:24" x14ac:dyDescent="0.25">
      <c r="A41" s="39"/>
      <c r="B41" s="42"/>
      <c r="C41" s="10" t="s">
        <v>1252</v>
      </c>
      <c r="D41" s="10" t="s">
        <v>1232</v>
      </c>
      <c r="E41" s="11">
        <f t="shared" si="0"/>
        <v>3</v>
      </c>
      <c r="F41" s="10">
        <v>56.41</v>
      </c>
      <c r="G41" s="10">
        <v>4</v>
      </c>
      <c r="H41" s="10">
        <v>16.98</v>
      </c>
      <c r="I41" s="10">
        <v>8.48</v>
      </c>
      <c r="J41" s="10">
        <v>5.48</v>
      </c>
      <c r="K41" s="10">
        <v>4</v>
      </c>
      <c r="L41" s="10">
        <v>12</v>
      </c>
      <c r="M41" s="10">
        <v>3.5</v>
      </c>
      <c r="N41" s="10">
        <v>0.5</v>
      </c>
      <c r="O41" s="20">
        <f t="shared" si="1"/>
        <v>0.75</v>
      </c>
      <c r="R41" s="1" t="s">
        <v>1493</v>
      </c>
      <c r="S41" s="24">
        <f>AVERAGE(L$122:L$141)</f>
        <v>7.9064999999999994</v>
      </c>
      <c r="T41" s="25"/>
      <c r="U41" s="24">
        <f>AVERAGE(L$142:L$161)</f>
        <v>11.927</v>
      </c>
      <c r="V41" s="25"/>
      <c r="W41" s="24">
        <f>AVERAGE(L$162:L$181)</f>
        <v>15.975999999999999</v>
      </c>
      <c r="X41" s="25"/>
    </row>
    <row r="42" spans="1:24" x14ac:dyDescent="0.25">
      <c r="A42" s="39"/>
      <c r="B42" s="40" t="s">
        <v>5</v>
      </c>
      <c r="C42" s="7" t="s">
        <v>1253</v>
      </c>
      <c r="D42" s="7" t="s">
        <v>181</v>
      </c>
      <c r="E42" s="8">
        <f t="shared" si="0"/>
        <v>4</v>
      </c>
      <c r="F42" s="7">
        <v>75.209999999999994</v>
      </c>
      <c r="G42" s="7">
        <v>4</v>
      </c>
      <c r="H42" s="7">
        <v>22.64</v>
      </c>
      <c r="I42" s="7">
        <v>14.14</v>
      </c>
      <c r="J42" s="7">
        <v>11.14</v>
      </c>
      <c r="K42" s="7">
        <v>4</v>
      </c>
      <c r="L42" s="7">
        <v>16</v>
      </c>
      <c r="M42" s="7">
        <v>7.5</v>
      </c>
      <c r="N42" s="7">
        <v>4.5</v>
      </c>
      <c r="O42" s="18">
        <f t="shared" si="1"/>
        <v>1</v>
      </c>
      <c r="R42" s="1" t="s">
        <v>1467</v>
      </c>
      <c r="S42" s="24">
        <f>AVERAGE(M$122:M$141)</f>
        <v>-0.59299999999999997</v>
      </c>
      <c r="T42" s="25"/>
      <c r="U42" s="24">
        <f>AVERAGE(M$142:M$161)</f>
        <v>3.4270000000000005</v>
      </c>
      <c r="V42" s="25"/>
      <c r="W42" s="24">
        <f>AVERAGE(M$162:M$181)</f>
        <v>7.4760000000000009</v>
      </c>
      <c r="X42" s="25"/>
    </row>
    <row r="43" spans="1:24" x14ac:dyDescent="0.25">
      <c r="A43" s="39"/>
      <c r="B43" s="41"/>
      <c r="C43" t="s">
        <v>1254</v>
      </c>
      <c r="D43" t="s">
        <v>181</v>
      </c>
      <c r="E43" s="3">
        <f t="shared" si="0"/>
        <v>4</v>
      </c>
      <c r="F43">
        <v>75.209999999999994</v>
      </c>
      <c r="G43">
        <v>4</v>
      </c>
      <c r="H43">
        <v>22.64</v>
      </c>
      <c r="I43">
        <v>14.14</v>
      </c>
      <c r="J43">
        <v>11.14</v>
      </c>
      <c r="K43">
        <v>4</v>
      </c>
      <c r="L43">
        <v>15.54</v>
      </c>
      <c r="M43">
        <v>7.04</v>
      </c>
      <c r="N43">
        <v>4.04</v>
      </c>
      <c r="O43" s="19">
        <f t="shared" si="1"/>
        <v>1</v>
      </c>
      <c r="R43" s="1" t="s">
        <v>1468</v>
      </c>
      <c r="S43" s="24">
        <f>AVERAGE(N$122:N$141)</f>
        <v>-3.593</v>
      </c>
      <c r="T43" s="25"/>
      <c r="U43" s="24">
        <f>AVERAGE(N$142:N$161)</f>
        <v>0.42699999999999994</v>
      </c>
      <c r="V43" s="25"/>
      <c r="W43" s="24">
        <f>AVERAGE(N$162:N$181)</f>
        <v>4.476</v>
      </c>
      <c r="X43" s="25"/>
    </row>
    <row r="44" spans="1:24" x14ac:dyDescent="0.25">
      <c r="A44" s="39"/>
      <c r="B44" s="41"/>
      <c r="C44" t="s">
        <v>1255</v>
      </c>
      <c r="D44" t="s">
        <v>181</v>
      </c>
      <c r="E44" s="3">
        <f t="shared" si="0"/>
        <v>4</v>
      </c>
      <c r="F44">
        <v>75.209999999999994</v>
      </c>
      <c r="G44">
        <v>4</v>
      </c>
      <c r="H44">
        <v>22.64</v>
      </c>
      <c r="I44">
        <v>14.14</v>
      </c>
      <c r="J44">
        <v>11.14</v>
      </c>
      <c r="K44">
        <v>4</v>
      </c>
      <c r="L44">
        <v>15.67</v>
      </c>
      <c r="M44">
        <v>7.17</v>
      </c>
      <c r="N44">
        <v>4.17</v>
      </c>
      <c r="O44" s="19">
        <f t="shared" si="1"/>
        <v>1</v>
      </c>
      <c r="R44" s="1" t="s">
        <v>1510</v>
      </c>
      <c r="S44" s="24">
        <f>AVERAGE(O$122:O$141)</f>
        <v>0.95</v>
      </c>
      <c r="T44" s="25"/>
      <c r="U44" s="24">
        <f>AVERAGE(O$142:O$161)</f>
        <v>0.75</v>
      </c>
      <c r="V44" s="25"/>
      <c r="W44" s="24">
        <f>AVERAGE(O$162:O$181)</f>
        <v>1</v>
      </c>
      <c r="X44" s="25"/>
    </row>
    <row r="45" spans="1:24" x14ac:dyDescent="0.25">
      <c r="A45" s="39"/>
      <c r="B45" s="41"/>
      <c r="C45" t="s">
        <v>1256</v>
      </c>
      <c r="D45" t="s">
        <v>181</v>
      </c>
      <c r="E45" s="3">
        <f t="shared" si="0"/>
        <v>4</v>
      </c>
      <c r="F45">
        <v>75.209999999999994</v>
      </c>
      <c r="G45">
        <v>4</v>
      </c>
      <c r="H45">
        <v>22.64</v>
      </c>
      <c r="I45">
        <v>14.14</v>
      </c>
      <c r="J45">
        <v>11.14</v>
      </c>
      <c r="K45">
        <v>4</v>
      </c>
      <c r="L45">
        <v>15.46</v>
      </c>
      <c r="M45">
        <v>6.96</v>
      </c>
      <c r="N45">
        <v>3.96</v>
      </c>
      <c r="O45" s="19">
        <f t="shared" si="1"/>
        <v>1</v>
      </c>
    </row>
    <row r="46" spans="1:24" x14ac:dyDescent="0.25">
      <c r="A46" s="39"/>
      <c r="B46" s="41"/>
      <c r="C46" t="s">
        <v>1257</v>
      </c>
      <c r="D46" t="s">
        <v>181</v>
      </c>
      <c r="E46" s="3">
        <f t="shared" si="0"/>
        <v>4</v>
      </c>
      <c r="F46">
        <v>75.209999999999994</v>
      </c>
      <c r="G46">
        <v>4</v>
      </c>
      <c r="H46">
        <v>22.64</v>
      </c>
      <c r="I46">
        <v>14.14</v>
      </c>
      <c r="J46">
        <v>11.14</v>
      </c>
      <c r="K46">
        <v>4</v>
      </c>
      <c r="L46">
        <v>16</v>
      </c>
      <c r="M46">
        <v>7.5</v>
      </c>
      <c r="N46">
        <v>4.5</v>
      </c>
      <c r="O46" s="19">
        <f t="shared" si="1"/>
        <v>1</v>
      </c>
      <c r="R46" s="37" t="s">
        <v>1491</v>
      </c>
      <c r="S46" s="38"/>
      <c r="T46" s="38"/>
      <c r="U46" s="38"/>
      <c r="V46" s="38"/>
      <c r="W46" s="38"/>
      <c r="X46" s="26"/>
    </row>
    <row r="47" spans="1:24" x14ac:dyDescent="0.25">
      <c r="A47" s="39"/>
      <c r="B47" s="41"/>
      <c r="C47" t="s">
        <v>1258</v>
      </c>
      <c r="D47" t="s">
        <v>181</v>
      </c>
      <c r="E47" s="3">
        <f t="shared" si="0"/>
        <v>4</v>
      </c>
      <c r="F47">
        <v>75.209999999999994</v>
      </c>
      <c r="G47">
        <v>4</v>
      </c>
      <c r="H47">
        <v>22.64</v>
      </c>
      <c r="I47">
        <v>14.14</v>
      </c>
      <c r="J47">
        <v>11.14</v>
      </c>
      <c r="K47">
        <v>4</v>
      </c>
      <c r="L47">
        <v>15.67</v>
      </c>
      <c r="M47">
        <v>7.17</v>
      </c>
      <c r="N47">
        <v>4.17</v>
      </c>
      <c r="O47" s="19">
        <f t="shared" si="1"/>
        <v>1</v>
      </c>
      <c r="R47" s="1"/>
      <c r="S47" s="17" t="s">
        <v>1460</v>
      </c>
      <c r="T47" s="16"/>
      <c r="U47" s="17" t="s">
        <v>1461</v>
      </c>
      <c r="V47" s="16"/>
      <c r="W47" s="17" t="s">
        <v>1462</v>
      </c>
      <c r="X47" s="16"/>
    </row>
    <row r="48" spans="1:24" x14ac:dyDescent="0.25">
      <c r="A48" s="39"/>
      <c r="B48" s="41"/>
      <c r="C48" t="s">
        <v>1259</v>
      </c>
      <c r="D48" t="s">
        <v>181</v>
      </c>
      <c r="E48" s="3">
        <f t="shared" si="0"/>
        <v>4</v>
      </c>
      <c r="F48">
        <v>75.209999999999994</v>
      </c>
      <c r="G48">
        <v>4</v>
      </c>
      <c r="H48">
        <v>22.64</v>
      </c>
      <c r="I48">
        <v>14.14</v>
      </c>
      <c r="J48">
        <v>11.14</v>
      </c>
      <c r="K48">
        <v>4</v>
      </c>
      <c r="L48">
        <v>16</v>
      </c>
      <c r="M48">
        <v>7.5</v>
      </c>
      <c r="N48">
        <v>4.5</v>
      </c>
      <c r="O48" s="19">
        <f t="shared" si="1"/>
        <v>1</v>
      </c>
      <c r="R48" s="1" t="s">
        <v>1488</v>
      </c>
      <c r="S48" s="35">
        <f>AVERAGE(E$182:E$201)</f>
        <v>2</v>
      </c>
      <c r="T48" s="36"/>
      <c r="U48" s="35">
        <f>AVERAGE(E$202:E$221)</f>
        <v>3</v>
      </c>
      <c r="V48" s="36"/>
      <c r="W48" s="35">
        <f>AVERAGE(E$222:E$241)</f>
        <v>4</v>
      </c>
      <c r="X48" s="36"/>
    </row>
    <row r="49" spans="1:24" x14ac:dyDescent="0.25">
      <c r="A49" s="39"/>
      <c r="B49" s="41"/>
      <c r="C49" t="s">
        <v>1260</v>
      </c>
      <c r="D49" t="s">
        <v>181</v>
      </c>
      <c r="E49" s="3">
        <f t="shared" si="0"/>
        <v>4</v>
      </c>
      <c r="F49">
        <v>75.209999999999994</v>
      </c>
      <c r="G49">
        <v>4</v>
      </c>
      <c r="H49">
        <v>22.64</v>
      </c>
      <c r="I49">
        <v>14.14</v>
      </c>
      <c r="J49">
        <v>11.14</v>
      </c>
      <c r="K49">
        <v>4</v>
      </c>
      <c r="L49">
        <v>16</v>
      </c>
      <c r="M49">
        <v>7.5</v>
      </c>
      <c r="N49">
        <v>4.5</v>
      </c>
      <c r="O49" s="19">
        <f t="shared" si="1"/>
        <v>1</v>
      </c>
      <c r="R49" s="1" t="s">
        <v>1463</v>
      </c>
      <c r="S49" s="35">
        <f>AVERAGE(G$182:G$201)</f>
        <v>4</v>
      </c>
      <c r="T49" s="26"/>
      <c r="U49" s="35">
        <f>AVERAGE(G$202:G$221)</f>
        <v>4</v>
      </c>
      <c r="V49" s="26"/>
      <c r="W49" s="35">
        <f>AVERAGE(G$222:G$241)</f>
        <v>4</v>
      </c>
      <c r="X49" s="26"/>
    </row>
    <row r="50" spans="1:24" x14ac:dyDescent="0.25">
      <c r="A50" s="39"/>
      <c r="B50" s="41"/>
      <c r="C50" t="s">
        <v>1261</v>
      </c>
      <c r="D50" t="s">
        <v>181</v>
      </c>
      <c r="E50" s="3">
        <f t="shared" si="0"/>
        <v>4</v>
      </c>
      <c r="F50">
        <v>75.209999999999994</v>
      </c>
      <c r="G50">
        <v>4</v>
      </c>
      <c r="H50">
        <v>22.64</v>
      </c>
      <c r="I50">
        <v>14.14</v>
      </c>
      <c r="J50">
        <v>11.14</v>
      </c>
      <c r="K50">
        <v>4</v>
      </c>
      <c r="L50">
        <v>15.71</v>
      </c>
      <c r="M50">
        <v>7.21</v>
      </c>
      <c r="N50">
        <v>4.21</v>
      </c>
      <c r="O50" s="19">
        <f t="shared" si="1"/>
        <v>1</v>
      </c>
      <c r="R50" s="1" t="s">
        <v>1464</v>
      </c>
      <c r="S50" s="24">
        <f>AVERAGE(H$182:H$201)</f>
        <v>14.933499999999999</v>
      </c>
      <c r="T50" s="26"/>
      <c r="U50" s="24">
        <f>AVERAGE(H$202:H$221)</f>
        <v>22.74</v>
      </c>
      <c r="V50" s="26"/>
      <c r="W50" s="24">
        <f>AVERAGE(H$222:H$241)</f>
        <v>31.097500000000007</v>
      </c>
      <c r="X50" s="26"/>
    </row>
    <row r="51" spans="1:24" x14ac:dyDescent="0.25">
      <c r="A51" s="39"/>
      <c r="B51" s="41"/>
      <c r="C51" t="s">
        <v>1262</v>
      </c>
      <c r="D51" t="s">
        <v>181</v>
      </c>
      <c r="E51" s="3">
        <f t="shared" si="0"/>
        <v>4</v>
      </c>
      <c r="F51">
        <v>75.209999999999994</v>
      </c>
      <c r="G51">
        <v>4</v>
      </c>
      <c r="H51">
        <v>22.64</v>
      </c>
      <c r="I51">
        <v>14.14</v>
      </c>
      <c r="J51">
        <v>11.14</v>
      </c>
      <c r="K51">
        <v>4</v>
      </c>
      <c r="L51">
        <v>15.67</v>
      </c>
      <c r="M51">
        <v>7.17</v>
      </c>
      <c r="N51">
        <v>4.17</v>
      </c>
      <c r="O51" s="19">
        <f t="shared" si="1"/>
        <v>1</v>
      </c>
      <c r="R51" s="1" t="s">
        <v>1465</v>
      </c>
      <c r="S51" s="24">
        <f>AVERAGE(I$182:I$201)</f>
        <v>6.4345000000000026</v>
      </c>
      <c r="T51" s="26"/>
      <c r="U51" s="24">
        <f>AVERAGE(I$202:I$221)</f>
        <v>14.239999999999998</v>
      </c>
      <c r="V51" s="26"/>
      <c r="W51" s="24">
        <f>AVERAGE(I$222:I$241)</f>
        <v>22.5975</v>
      </c>
      <c r="X51" s="26"/>
    </row>
    <row r="52" spans="1:24" x14ac:dyDescent="0.25">
      <c r="A52" s="39"/>
      <c r="B52" s="41"/>
      <c r="C52" t="s">
        <v>1263</v>
      </c>
      <c r="D52" t="s">
        <v>181</v>
      </c>
      <c r="E52" s="3">
        <f t="shared" si="0"/>
        <v>4</v>
      </c>
      <c r="F52">
        <v>75.209999999999994</v>
      </c>
      <c r="G52">
        <v>4</v>
      </c>
      <c r="H52">
        <v>22.64</v>
      </c>
      <c r="I52">
        <v>14.14</v>
      </c>
      <c r="J52">
        <v>11.14</v>
      </c>
      <c r="K52">
        <v>4</v>
      </c>
      <c r="L52">
        <v>16</v>
      </c>
      <c r="M52">
        <v>7.5</v>
      </c>
      <c r="N52">
        <v>4.5</v>
      </c>
      <c r="O52" s="19">
        <f t="shared" si="1"/>
        <v>1</v>
      </c>
      <c r="R52" s="1" t="s">
        <v>1466</v>
      </c>
      <c r="S52" s="24">
        <f>AVERAGE(J$182:J$201)</f>
        <v>3.434499999999999</v>
      </c>
      <c r="T52" s="26"/>
      <c r="U52" s="24">
        <f>AVERAGE(J$202:J$221)</f>
        <v>11.24</v>
      </c>
      <c r="V52" s="26"/>
      <c r="W52" s="24">
        <f>AVERAGE(J$222:J$241)</f>
        <v>19.597499999999997</v>
      </c>
      <c r="X52" s="26"/>
    </row>
    <row r="53" spans="1:24" x14ac:dyDescent="0.25">
      <c r="A53" s="39"/>
      <c r="B53" s="41"/>
      <c r="C53" t="s">
        <v>1264</v>
      </c>
      <c r="D53" t="s">
        <v>181</v>
      </c>
      <c r="E53" s="3">
        <f t="shared" si="0"/>
        <v>4</v>
      </c>
      <c r="F53">
        <v>75.209999999999994</v>
      </c>
      <c r="G53">
        <v>4</v>
      </c>
      <c r="H53">
        <v>22.64</v>
      </c>
      <c r="I53">
        <v>14.14</v>
      </c>
      <c r="J53">
        <v>11.14</v>
      </c>
      <c r="K53">
        <v>4</v>
      </c>
      <c r="L53">
        <v>16</v>
      </c>
      <c r="M53">
        <v>7.5</v>
      </c>
      <c r="N53">
        <v>4.5</v>
      </c>
      <c r="O53" s="19">
        <f t="shared" si="1"/>
        <v>1</v>
      </c>
      <c r="R53" s="1" t="s">
        <v>1512</v>
      </c>
      <c r="S53" s="35">
        <f>AVERAGE(K$182:K$201)</f>
        <v>2</v>
      </c>
      <c r="T53" s="26"/>
      <c r="U53" s="35">
        <f>AVERAGE(K$202:K$221)</f>
        <v>4</v>
      </c>
      <c r="V53" s="26"/>
      <c r="W53" s="35">
        <f>AVERAGE(K$222:K$241)</f>
        <v>4</v>
      </c>
      <c r="X53" s="26"/>
    </row>
    <row r="54" spans="1:24" x14ac:dyDescent="0.25">
      <c r="A54" s="39"/>
      <c r="B54" s="41"/>
      <c r="C54" t="s">
        <v>1265</v>
      </c>
      <c r="D54" t="s">
        <v>181</v>
      </c>
      <c r="E54" s="3">
        <f t="shared" si="0"/>
        <v>4</v>
      </c>
      <c r="F54">
        <v>75.209999999999994</v>
      </c>
      <c r="G54">
        <v>4</v>
      </c>
      <c r="H54">
        <v>22.64</v>
      </c>
      <c r="I54">
        <v>14.14</v>
      </c>
      <c r="J54">
        <v>11.14</v>
      </c>
      <c r="K54">
        <v>4</v>
      </c>
      <c r="L54">
        <v>16</v>
      </c>
      <c r="M54">
        <v>7.5</v>
      </c>
      <c r="N54">
        <v>4.5</v>
      </c>
      <c r="O54" s="19">
        <f t="shared" si="1"/>
        <v>1</v>
      </c>
      <c r="R54" s="1" t="s">
        <v>1493</v>
      </c>
      <c r="S54" s="24">
        <f>AVERAGE(L$182:L$201)</f>
        <v>8</v>
      </c>
      <c r="T54" s="25"/>
      <c r="U54" s="24">
        <f>AVERAGE(L$202:L$221)</f>
        <v>12</v>
      </c>
      <c r="V54" s="25"/>
      <c r="W54" s="24">
        <f>AVERAGE(L$222:L$241)</f>
        <v>15.987</v>
      </c>
      <c r="X54" s="25"/>
    </row>
    <row r="55" spans="1:24" x14ac:dyDescent="0.25">
      <c r="A55" s="39"/>
      <c r="B55" s="41"/>
      <c r="C55" t="s">
        <v>1266</v>
      </c>
      <c r="D55" t="s">
        <v>181</v>
      </c>
      <c r="E55" s="3">
        <f t="shared" si="0"/>
        <v>4</v>
      </c>
      <c r="F55">
        <v>75.209999999999994</v>
      </c>
      <c r="G55">
        <v>4</v>
      </c>
      <c r="H55">
        <v>22.64</v>
      </c>
      <c r="I55">
        <v>14.14</v>
      </c>
      <c r="J55">
        <v>11.14</v>
      </c>
      <c r="K55">
        <v>4</v>
      </c>
      <c r="L55">
        <v>16</v>
      </c>
      <c r="M55">
        <v>7.5</v>
      </c>
      <c r="N55">
        <v>4.5</v>
      </c>
      <c r="O55" s="19">
        <f t="shared" si="1"/>
        <v>1</v>
      </c>
      <c r="R55" s="1" t="s">
        <v>1467</v>
      </c>
      <c r="S55" s="24">
        <f>AVERAGE(M$182:M$201)</f>
        <v>-0.5</v>
      </c>
      <c r="T55" s="25"/>
      <c r="U55" s="24">
        <f>AVERAGE(M$202:M$221)</f>
        <v>3.5</v>
      </c>
      <c r="V55" s="25"/>
      <c r="W55" s="24">
        <f>AVERAGE(M$222:M$241)</f>
        <v>7.4870000000000001</v>
      </c>
      <c r="X55" s="25"/>
    </row>
    <row r="56" spans="1:24" x14ac:dyDescent="0.25">
      <c r="A56" s="39"/>
      <c r="B56" s="41"/>
      <c r="C56" t="s">
        <v>1267</v>
      </c>
      <c r="D56" t="s">
        <v>181</v>
      </c>
      <c r="E56" s="3">
        <f t="shared" si="0"/>
        <v>4</v>
      </c>
      <c r="F56">
        <v>75.209999999999994</v>
      </c>
      <c r="G56">
        <v>4</v>
      </c>
      <c r="H56">
        <v>22.64</v>
      </c>
      <c r="I56">
        <v>14.14</v>
      </c>
      <c r="J56">
        <v>11.14</v>
      </c>
      <c r="K56">
        <v>4</v>
      </c>
      <c r="L56">
        <v>16</v>
      </c>
      <c r="M56">
        <v>7.5</v>
      </c>
      <c r="N56">
        <v>4.5</v>
      </c>
      <c r="O56" s="19">
        <f t="shared" si="1"/>
        <v>1</v>
      </c>
      <c r="R56" s="1" t="s">
        <v>1468</v>
      </c>
      <c r="S56" s="24">
        <f>AVERAGE(N$183:N$201)</f>
        <v>-3.5</v>
      </c>
      <c r="T56" s="25"/>
      <c r="U56" s="24">
        <f>AVERAGE(N$202:N$221)</f>
        <v>0.5</v>
      </c>
      <c r="V56" s="25"/>
      <c r="W56" s="24">
        <f>AVERAGE(N$222:N$241)</f>
        <v>4.4870000000000001</v>
      </c>
      <c r="X56" s="25"/>
    </row>
    <row r="57" spans="1:24" x14ac:dyDescent="0.25">
      <c r="A57" s="39"/>
      <c r="B57" s="41"/>
      <c r="C57" t="s">
        <v>1268</v>
      </c>
      <c r="D57" t="s">
        <v>181</v>
      </c>
      <c r="E57" s="3">
        <f t="shared" si="0"/>
        <v>4</v>
      </c>
      <c r="F57">
        <v>75.209999999999994</v>
      </c>
      <c r="G57">
        <v>4</v>
      </c>
      <c r="H57">
        <v>22.64</v>
      </c>
      <c r="I57">
        <v>14.14</v>
      </c>
      <c r="J57">
        <v>11.14</v>
      </c>
      <c r="K57">
        <v>4</v>
      </c>
      <c r="L57">
        <v>16</v>
      </c>
      <c r="M57">
        <v>7.5</v>
      </c>
      <c r="N57">
        <v>4.5</v>
      </c>
      <c r="O57" s="19">
        <f t="shared" si="1"/>
        <v>1</v>
      </c>
      <c r="R57" s="1" t="s">
        <v>1510</v>
      </c>
      <c r="S57" s="24">
        <f>AVERAGE(O$182:O$201)</f>
        <v>1</v>
      </c>
      <c r="T57" s="25"/>
      <c r="U57" s="24">
        <f>AVERAGE(O$202:O$221)</f>
        <v>0.75</v>
      </c>
      <c r="V57" s="25"/>
      <c r="W57" s="24">
        <f>AVERAGE(O$222:O$241)</f>
        <v>1</v>
      </c>
      <c r="X57" s="25"/>
    </row>
    <row r="58" spans="1:24" x14ac:dyDescent="0.25">
      <c r="A58" s="39"/>
      <c r="B58" s="41"/>
      <c r="C58" t="s">
        <v>1269</v>
      </c>
      <c r="D58" t="s">
        <v>181</v>
      </c>
      <c r="E58" s="3">
        <f t="shared" si="0"/>
        <v>4</v>
      </c>
      <c r="F58">
        <v>75.209999999999994</v>
      </c>
      <c r="G58">
        <v>4</v>
      </c>
      <c r="H58">
        <v>22.64</v>
      </c>
      <c r="I58">
        <v>14.14</v>
      </c>
      <c r="J58">
        <v>11.14</v>
      </c>
      <c r="K58">
        <v>4</v>
      </c>
      <c r="L58">
        <v>15.92</v>
      </c>
      <c r="M58">
        <v>7.42</v>
      </c>
      <c r="N58">
        <v>4.42</v>
      </c>
      <c r="O58" s="19">
        <f t="shared" si="1"/>
        <v>1</v>
      </c>
    </row>
    <row r="59" spans="1:24" x14ac:dyDescent="0.25">
      <c r="A59" s="39"/>
      <c r="B59" s="41"/>
      <c r="C59" t="s">
        <v>1270</v>
      </c>
      <c r="D59" t="s">
        <v>181</v>
      </c>
      <c r="E59" s="3">
        <f t="shared" si="0"/>
        <v>4</v>
      </c>
      <c r="F59">
        <v>75.209999999999994</v>
      </c>
      <c r="G59">
        <v>4</v>
      </c>
      <c r="H59">
        <v>22.64</v>
      </c>
      <c r="I59">
        <v>14.14</v>
      </c>
      <c r="J59">
        <v>11.14</v>
      </c>
      <c r="K59">
        <v>4</v>
      </c>
      <c r="L59">
        <v>16</v>
      </c>
      <c r="M59">
        <v>7.5</v>
      </c>
      <c r="N59">
        <v>4.5</v>
      </c>
      <c r="O59" s="19">
        <f t="shared" si="1"/>
        <v>1</v>
      </c>
    </row>
    <row r="60" spans="1:24" x14ac:dyDescent="0.25">
      <c r="A60" s="39"/>
      <c r="B60" s="41"/>
      <c r="C60" t="s">
        <v>1271</v>
      </c>
      <c r="D60" t="s">
        <v>181</v>
      </c>
      <c r="E60" s="3">
        <f t="shared" si="0"/>
        <v>4</v>
      </c>
      <c r="F60">
        <v>75.209999999999994</v>
      </c>
      <c r="G60">
        <v>4</v>
      </c>
      <c r="H60">
        <v>22.64</v>
      </c>
      <c r="I60">
        <v>14.14</v>
      </c>
      <c r="J60">
        <v>11.14</v>
      </c>
      <c r="K60">
        <v>4</v>
      </c>
      <c r="L60">
        <v>16</v>
      </c>
      <c r="M60">
        <v>7.5</v>
      </c>
      <c r="N60">
        <v>4.5</v>
      </c>
      <c r="O60" s="19">
        <f t="shared" si="1"/>
        <v>1</v>
      </c>
      <c r="R60" s="1"/>
      <c r="S60" s="30" t="s">
        <v>1460</v>
      </c>
      <c r="T60" s="30"/>
      <c r="U60" s="30" t="s">
        <v>1461</v>
      </c>
      <c r="V60" s="30"/>
      <c r="W60" s="30" t="s">
        <v>1462</v>
      </c>
      <c r="X60" s="30"/>
    </row>
    <row r="61" spans="1:24" ht="15" customHeight="1" x14ac:dyDescent="0.25">
      <c r="A61" s="39"/>
      <c r="B61" s="42"/>
      <c r="C61" s="10" t="s">
        <v>1272</v>
      </c>
      <c r="D61" s="10" t="s">
        <v>181</v>
      </c>
      <c r="E61" s="11">
        <f t="shared" si="0"/>
        <v>4</v>
      </c>
      <c r="F61" s="10">
        <v>75.209999999999994</v>
      </c>
      <c r="G61" s="10">
        <v>4</v>
      </c>
      <c r="H61" s="10">
        <v>22.64</v>
      </c>
      <c r="I61" s="10">
        <v>14.14</v>
      </c>
      <c r="J61" s="10">
        <v>11.14</v>
      </c>
      <c r="K61" s="10">
        <v>4</v>
      </c>
      <c r="L61" s="10">
        <v>16</v>
      </c>
      <c r="M61" s="10">
        <v>7.5</v>
      </c>
      <c r="N61" s="10">
        <v>4.5</v>
      </c>
      <c r="O61" s="20">
        <f t="shared" si="1"/>
        <v>1</v>
      </c>
      <c r="Q61" s="43" t="s">
        <v>0</v>
      </c>
      <c r="R61" s="1" t="s">
        <v>1488</v>
      </c>
      <c r="S61" s="35">
        <v>2</v>
      </c>
      <c r="T61" s="36"/>
      <c r="U61" s="35">
        <v>3</v>
      </c>
      <c r="V61" s="26"/>
      <c r="W61" s="35">
        <v>4</v>
      </c>
      <c r="X61" s="26"/>
    </row>
    <row r="62" spans="1:24" x14ac:dyDescent="0.25">
      <c r="A62" s="39"/>
      <c r="B62" s="40" t="s">
        <v>4</v>
      </c>
      <c r="C62" s="7" t="s">
        <v>1273</v>
      </c>
      <c r="D62" s="7" t="s">
        <v>271</v>
      </c>
      <c r="E62" s="8">
        <f t="shared" si="0"/>
        <v>2</v>
      </c>
      <c r="F62" s="7">
        <v>45.6</v>
      </c>
      <c r="G62" s="7">
        <v>4</v>
      </c>
      <c r="H62" s="7">
        <v>13.73</v>
      </c>
      <c r="I62" s="7">
        <v>5.23</v>
      </c>
      <c r="J62" s="7">
        <v>2.23</v>
      </c>
      <c r="K62" s="7">
        <v>2</v>
      </c>
      <c r="L62" s="7">
        <v>8</v>
      </c>
      <c r="M62" s="7">
        <v>-0.5</v>
      </c>
      <c r="N62" s="7">
        <v>-3.5</v>
      </c>
      <c r="O62" s="18">
        <f t="shared" si="1"/>
        <v>1</v>
      </c>
      <c r="Q62" s="44"/>
      <c r="R62" s="1" t="s">
        <v>1512</v>
      </c>
      <c r="S62" s="35">
        <v>2</v>
      </c>
      <c r="T62" s="26"/>
      <c r="U62" s="35">
        <v>4</v>
      </c>
      <c r="V62" s="26"/>
      <c r="W62" s="35">
        <v>4</v>
      </c>
      <c r="X62" s="26"/>
    </row>
    <row r="63" spans="1:24" x14ac:dyDescent="0.25">
      <c r="A63" s="39"/>
      <c r="B63" s="41"/>
      <c r="C63" t="s">
        <v>1274</v>
      </c>
      <c r="D63" t="s">
        <v>271</v>
      </c>
      <c r="E63" s="3">
        <f t="shared" si="0"/>
        <v>2</v>
      </c>
      <c r="F63">
        <v>45.6</v>
      </c>
      <c r="G63">
        <v>4</v>
      </c>
      <c r="H63">
        <v>13.73</v>
      </c>
      <c r="I63">
        <v>5.23</v>
      </c>
      <c r="J63">
        <v>2.23</v>
      </c>
      <c r="K63">
        <v>2</v>
      </c>
      <c r="L63">
        <v>8</v>
      </c>
      <c r="M63">
        <v>-0.5</v>
      </c>
      <c r="N63">
        <v>-3.5</v>
      </c>
      <c r="O63" s="19">
        <f t="shared" si="1"/>
        <v>1</v>
      </c>
      <c r="Q63" s="45"/>
      <c r="R63" s="1" t="s">
        <v>1463</v>
      </c>
      <c r="S63" s="35">
        <v>4</v>
      </c>
      <c r="T63" s="26"/>
      <c r="U63" s="35">
        <v>4</v>
      </c>
      <c r="V63" s="26"/>
      <c r="W63" s="35">
        <v>4</v>
      </c>
      <c r="X63" s="26"/>
    </row>
    <row r="64" spans="1:24" x14ac:dyDescent="0.25">
      <c r="A64" s="39"/>
      <c r="B64" s="41"/>
      <c r="C64" t="s">
        <v>1275</v>
      </c>
      <c r="D64" t="s">
        <v>271</v>
      </c>
      <c r="E64" s="3">
        <f t="shared" si="0"/>
        <v>2</v>
      </c>
      <c r="F64">
        <v>45.6</v>
      </c>
      <c r="G64">
        <v>4</v>
      </c>
      <c r="H64">
        <v>13.73</v>
      </c>
      <c r="I64">
        <v>5.23</v>
      </c>
      <c r="J64">
        <v>2.23</v>
      </c>
      <c r="K64">
        <v>2</v>
      </c>
      <c r="L64">
        <v>8</v>
      </c>
      <c r="M64">
        <v>-0.5</v>
      </c>
      <c r="N64">
        <v>-3.5</v>
      </c>
      <c r="O64" s="19">
        <f t="shared" si="1"/>
        <v>1</v>
      </c>
      <c r="Q64" s="43" t="s">
        <v>1</v>
      </c>
      <c r="R64" s="1" t="s">
        <v>1488</v>
      </c>
      <c r="S64" s="35">
        <v>2</v>
      </c>
      <c r="T64" s="36"/>
      <c r="U64" s="35">
        <v>3</v>
      </c>
      <c r="V64" s="36"/>
      <c r="W64" s="35">
        <v>4</v>
      </c>
      <c r="X64" s="36"/>
    </row>
    <row r="65" spans="1:24" x14ac:dyDescent="0.25">
      <c r="A65" s="39"/>
      <c r="B65" s="41"/>
      <c r="C65" t="s">
        <v>1276</v>
      </c>
      <c r="D65" t="s">
        <v>271</v>
      </c>
      <c r="E65" s="3">
        <f t="shared" si="0"/>
        <v>2</v>
      </c>
      <c r="F65">
        <v>45.6</v>
      </c>
      <c r="G65">
        <v>4</v>
      </c>
      <c r="H65">
        <v>13.73</v>
      </c>
      <c r="I65">
        <v>5.23</v>
      </c>
      <c r="J65">
        <v>2.23</v>
      </c>
      <c r="K65">
        <v>2</v>
      </c>
      <c r="L65">
        <v>8</v>
      </c>
      <c r="M65">
        <v>-0.5</v>
      </c>
      <c r="N65">
        <v>-3.5</v>
      </c>
      <c r="O65" s="19">
        <f t="shared" si="1"/>
        <v>1</v>
      </c>
      <c r="Q65" s="44"/>
      <c r="R65" s="1" t="s">
        <v>1512</v>
      </c>
      <c r="S65" s="35">
        <v>2</v>
      </c>
      <c r="T65" s="26"/>
      <c r="U65" s="35">
        <v>4</v>
      </c>
      <c r="V65" s="36"/>
      <c r="W65" s="35">
        <v>4</v>
      </c>
      <c r="X65" s="36"/>
    </row>
    <row r="66" spans="1:24" x14ac:dyDescent="0.25">
      <c r="A66" s="39"/>
      <c r="B66" s="41"/>
      <c r="C66" t="s">
        <v>1277</v>
      </c>
      <c r="D66" t="s">
        <v>271</v>
      </c>
      <c r="E66" s="3">
        <f t="shared" ref="E66:E129" si="2">IF(D66="Muito Fraca", 1, IF(D66="Fraca", 2, IF(D66="Boa", 3, 4)))</f>
        <v>2</v>
      </c>
      <c r="F66">
        <v>45.6</v>
      </c>
      <c r="G66">
        <v>4</v>
      </c>
      <c r="H66">
        <v>13.73</v>
      </c>
      <c r="I66">
        <v>5.23</v>
      </c>
      <c r="J66">
        <v>2.23</v>
      </c>
      <c r="K66">
        <v>2</v>
      </c>
      <c r="L66">
        <v>8</v>
      </c>
      <c r="M66">
        <v>-0.5</v>
      </c>
      <c r="N66">
        <v>-3.5</v>
      </c>
      <c r="O66" s="19">
        <f t="shared" si="1"/>
        <v>1</v>
      </c>
      <c r="Q66" s="45"/>
      <c r="R66" s="1" t="s">
        <v>1463</v>
      </c>
      <c r="S66" s="35">
        <v>4</v>
      </c>
      <c r="T66" s="36"/>
      <c r="U66" s="35">
        <v>4</v>
      </c>
      <c r="V66" s="36"/>
      <c r="W66" s="35">
        <v>4</v>
      </c>
      <c r="X66" s="36"/>
    </row>
    <row r="67" spans="1:24" x14ac:dyDescent="0.25">
      <c r="A67" s="39"/>
      <c r="B67" s="41"/>
      <c r="C67" t="s">
        <v>1278</v>
      </c>
      <c r="D67" t="s">
        <v>271</v>
      </c>
      <c r="E67" s="3">
        <f t="shared" si="2"/>
        <v>2</v>
      </c>
      <c r="F67">
        <v>45.6</v>
      </c>
      <c r="G67">
        <v>4</v>
      </c>
      <c r="H67">
        <v>13.73</v>
      </c>
      <c r="I67">
        <v>5.23</v>
      </c>
      <c r="J67">
        <v>2.23</v>
      </c>
      <c r="K67">
        <v>2</v>
      </c>
      <c r="L67">
        <v>8</v>
      </c>
      <c r="M67">
        <v>-0.5</v>
      </c>
      <c r="N67">
        <v>-3.5</v>
      </c>
      <c r="O67" s="19">
        <f t="shared" ref="O67:O130" si="3">E67/K67</f>
        <v>1</v>
      </c>
      <c r="Q67" s="43" t="s">
        <v>2</v>
      </c>
      <c r="R67" s="1" t="s">
        <v>1488</v>
      </c>
      <c r="S67" s="35">
        <v>1.9</v>
      </c>
      <c r="T67" s="36"/>
      <c r="U67" s="35">
        <v>3</v>
      </c>
      <c r="V67" s="26"/>
      <c r="W67" s="35">
        <v>4</v>
      </c>
      <c r="X67" s="26"/>
    </row>
    <row r="68" spans="1:24" x14ac:dyDescent="0.25">
      <c r="A68" s="39"/>
      <c r="B68" s="41"/>
      <c r="C68" t="s">
        <v>1279</v>
      </c>
      <c r="D68" t="s">
        <v>271</v>
      </c>
      <c r="E68" s="3">
        <f t="shared" si="2"/>
        <v>2</v>
      </c>
      <c r="F68">
        <v>45.6</v>
      </c>
      <c r="G68">
        <v>4</v>
      </c>
      <c r="H68">
        <v>13.73</v>
      </c>
      <c r="I68">
        <v>5.23</v>
      </c>
      <c r="J68">
        <v>2.23</v>
      </c>
      <c r="K68">
        <v>2</v>
      </c>
      <c r="L68">
        <v>8</v>
      </c>
      <c r="M68">
        <v>-0.5</v>
      </c>
      <c r="N68">
        <v>-3.5</v>
      </c>
      <c r="O68" s="19">
        <f t="shared" si="3"/>
        <v>1</v>
      </c>
      <c r="Q68" s="44"/>
      <c r="R68" s="1" t="s">
        <v>1512</v>
      </c>
      <c r="S68" s="35">
        <v>2</v>
      </c>
      <c r="T68" s="26"/>
      <c r="U68" s="35">
        <v>4</v>
      </c>
      <c r="V68" s="26"/>
      <c r="W68" s="35">
        <v>4</v>
      </c>
      <c r="X68" s="26"/>
    </row>
    <row r="69" spans="1:24" ht="15" customHeight="1" x14ac:dyDescent="0.25">
      <c r="A69" s="39"/>
      <c r="B69" s="41"/>
      <c r="C69" t="s">
        <v>1280</v>
      </c>
      <c r="D69" t="s">
        <v>271</v>
      </c>
      <c r="E69" s="3">
        <f t="shared" si="2"/>
        <v>2</v>
      </c>
      <c r="F69">
        <v>45.6</v>
      </c>
      <c r="G69">
        <v>4</v>
      </c>
      <c r="H69">
        <v>13.73</v>
      </c>
      <c r="I69">
        <v>5.23</v>
      </c>
      <c r="J69">
        <v>2.23</v>
      </c>
      <c r="K69">
        <v>2</v>
      </c>
      <c r="L69">
        <v>8</v>
      </c>
      <c r="M69">
        <v>-0.5</v>
      </c>
      <c r="N69">
        <v>-3.5</v>
      </c>
      <c r="O69" s="19">
        <f t="shared" si="3"/>
        <v>1</v>
      </c>
      <c r="Q69" s="45"/>
      <c r="R69" s="1" t="s">
        <v>1463</v>
      </c>
      <c r="S69" s="35">
        <v>4</v>
      </c>
      <c r="T69" s="36"/>
      <c r="U69" s="35">
        <v>4</v>
      </c>
      <c r="V69" s="26"/>
      <c r="W69" s="35">
        <v>4</v>
      </c>
      <c r="X69" s="26"/>
    </row>
    <row r="70" spans="1:24" x14ac:dyDescent="0.25">
      <c r="A70" s="39"/>
      <c r="B70" s="41"/>
      <c r="C70" t="s">
        <v>1281</v>
      </c>
      <c r="D70" t="s">
        <v>271</v>
      </c>
      <c r="E70" s="3">
        <f t="shared" si="2"/>
        <v>2</v>
      </c>
      <c r="F70">
        <v>45.6</v>
      </c>
      <c r="G70">
        <v>4</v>
      </c>
      <c r="H70">
        <v>13.73</v>
      </c>
      <c r="I70">
        <v>5.23</v>
      </c>
      <c r="J70">
        <v>2.23</v>
      </c>
      <c r="K70">
        <v>2</v>
      </c>
      <c r="L70">
        <v>8</v>
      </c>
      <c r="M70">
        <v>-0.5</v>
      </c>
      <c r="N70">
        <v>-3.5</v>
      </c>
      <c r="O70" s="19">
        <f t="shared" si="3"/>
        <v>1</v>
      </c>
      <c r="Q70" s="43" t="s">
        <v>1491</v>
      </c>
      <c r="R70" s="1" t="s">
        <v>1488</v>
      </c>
      <c r="S70" s="35">
        <v>2.1</v>
      </c>
      <c r="T70" s="36"/>
      <c r="U70" s="35">
        <v>3</v>
      </c>
      <c r="V70" s="26"/>
      <c r="W70" s="35">
        <v>4</v>
      </c>
      <c r="X70" s="26"/>
    </row>
    <row r="71" spans="1:24" ht="15" customHeight="1" x14ac:dyDescent="0.25">
      <c r="A71" s="39"/>
      <c r="B71" s="41"/>
      <c r="C71" t="s">
        <v>1282</v>
      </c>
      <c r="D71" t="s">
        <v>271</v>
      </c>
      <c r="E71" s="3">
        <f t="shared" si="2"/>
        <v>2</v>
      </c>
      <c r="F71">
        <v>45.6</v>
      </c>
      <c r="G71">
        <v>4</v>
      </c>
      <c r="H71">
        <v>13.73</v>
      </c>
      <c r="I71">
        <v>5.23</v>
      </c>
      <c r="J71">
        <v>2.23</v>
      </c>
      <c r="K71">
        <v>2</v>
      </c>
      <c r="L71">
        <v>8</v>
      </c>
      <c r="M71">
        <v>-0.5</v>
      </c>
      <c r="N71">
        <v>-3.5</v>
      </c>
      <c r="O71" s="19">
        <f t="shared" si="3"/>
        <v>1</v>
      </c>
      <c r="Q71" s="44"/>
      <c r="R71" s="1" t="s">
        <v>1512</v>
      </c>
      <c r="S71" s="35">
        <v>2.1</v>
      </c>
      <c r="T71" s="26"/>
      <c r="U71" s="35">
        <v>4</v>
      </c>
      <c r="V71" s="26"/>
      <c r="W71" s="35">
        <v>4</v>
      </c>
      <c r="X71" s="26"/>
    </row>
    <row r="72" spans="1:24" x14ac:dyDescent="0.25">
      <c r="A72" s="39"/>
      <c r="B72" s="41"/>
      <c r="C72" t="s">
        <v>1283</v>
      </c>
      <c r="D72" t="s">
        <v>271</v>
      </c>
      <c r="E72" s="3">
        <f t="shared" si="2"/>
        <v>2</v>
      </c>
      <c r="F72">
        <v>45.6</v>
      </c>
      <c r="G72">
        <v>4</v>
      </c>
      <c r="H72">
        <v>13.73</v>
      </c>
      <c r="I72">
        <v>5.23</v>
      </c>
      <c r="J72">
        <v>2.23</v>
      </c>
      <c r="K72">
        <v>2</v>
      </c>
      <c r="L72">
        <v>8</v>
      </c>
      <c r="M72">
        <v>-0.5</v>
      </c>
      <c r="N72">
        <v>-3.5</v>
      </c>
      <c r="O72" s="19">
        <f t="shared" si="3"/>
        <v>1</v>
      </c>
      <c r="Q72" s="45"/>
      <c r="R72" s="1" t="s">
        <v>1463</v>
      </c>
      <c r="S72" s="35">
        <v>4</v>
      </c>
      <c r="T72" s="36"/>
      <c r="U72" s="35">
        <v>4</v>
      </c>
      <c r="V72" s="26"/>
      <c r="W72" s="35">
        <v>4</v>
      </c>
      <c r="X72" s="26"/>
    </row>
    <row r="73" spans="1:24" ht="15" customHeight="1" x14ac:dyDescent="0.25">
      <c r="A73" s="39"/>
      <c r="B73" s="41"/>
      <c r="C73" t="s">
        <v>1284</v>
      </c>
      <c r="D73" t="s">
        <v>271</v>
      </c>
      <c r="E73" s="3">
        <f t="shared" si="2"/>
        <v>2</v>
      </c>
      <c r="F73">
        <v>45.6</v>
      </c>
      <c r="G73">
        <v>4</v>
      </c>
      <c r="H73">
        <v>13.73</v>
      </c>
      <c r="I73">
        <v>5.23</v>
      </c>
      <c r="J73">
        <v>2.23</v>
      </c>
      <c r="K73">
        <v>2</v>
      </c>
      <c r="L73">
        <v>8</v>
      </c>
      <c r="M73">
        <v>-0.5</v>
      </c>
      <c r="N73">
        <v>-3.5</v>
      </c>
      <c r="O73" s="19">
        <f t="shared" si="3"/>
        <v>1</v>
      </c>
    </row>
    <row r="74" spans="1:24" x14ac:dyDescent="0.25">
      <c r="A74" s="39"/>
      <c r="B74" s="41"/>
      <c r="C74" t="s">
        <v>1285</v>
      </c>
      <c r="D74" t="s">
        <v>271</v>
      </c>
      <c r="E74" s="3">
        <f t="shared" si="2"/>
        <v>2</v>
      </c>
      <c r="F74">
        <v>45.6</v>
      </c>
      <c r="G74">
        <v>4</v>
      </c>
      <c r="H74">
        <v>13.73</v>
      </c>
      <c r="I74">
        <v>5.23</v>
      </c>
      <c r="J74">
        <v>2.23</v>
      </c>
      <c r="K74">
        <v>2</v>
      </c>
      <c r="L74">
        <v>8</v>
      </c>
      <c r="M74">
        <v>-0.5</v>
      </c>
      <c r="N74">
        <v>-3.5</v>
      </c>
      <c r="O74" s="19">
        <f t="shared" si="3"/>
        <v>1</v>
      </c>
      <c r="S74" s="37" t="s">
        <v>1460</v>
      </c>
      <c r="T74" s="26"/>
      <c r="U74" s="37" t="s">
        <v>1461</v>
      </c>
      <c r="V74" s="26"/>
      <c r="W74" s="37" t="s">
        <v>1462</v>
      </c>
      <c r="X74" s="26"/>
    </row>
    <row r="75" spans="1:24" x14ac:dyDescent="0.25">
      <c r="A75" s="39"/>
      <c r="B75" s="41"/>
      <c r="C75" t="s">
        <v>1286</v>
      </c>
      <c r="D75" t="s">
        <v>271</v>
      </c>
      <c r="E75" s="3">
        <f t="shared" si="2"/>
        <v>2</v>
      </c>
      <c r="F75">
        <v>45.6</v>
      </c>
      <c r="G75">
        <v>4</v>
      </c>
      <c r="H75">
        <v>13.73</v>
      </c>
      <c r="I75">
        <v>5.23</v>
      </c>
      <c r="J75">
        <v>2.23</v>
      </c>
      <c r="K75">
        <v>2</v>
      </c>
      <c r="L75">
        <v>8</v>
      </c>
      <c r="M75">
        <v>-0.5</v>
      </c>
      <c r="N75">
        <v>-3.5</v>
      </c>
      <c r="O75" s="19">
        <f t="shared" si="3"/>
        <v>1</v>
      </c>
      <c r="Q75" s="31" t="s">
        <v>0</v>
      </c>
      <c r="R75" s="1" t="s">
        <v>1493</v>
      </c>
      <c r="S75" s="24">
        <f>AVERAGE(L$2:L$21)</f>
        <v>8</v>
      </c>
      <c r="T75" s="25"/>
      <c r="U75" s="24">
        <f>AVERAGE(L$22:L$41)</f>
        <v>11.8965</v>
      </c>
      <c r="V75" s="25"/>
      <c r="W75" s="24">
        <f>AVERAGE(L$42:L$61)</f>
        <v>15.882</v>
      </c>
      <c r="X75" s="25"/>
    </row>
    <row r="76" spans="1:24" x14ac:dyDescent="0.25">
      <c r="A76" s="39"/>
      <c r="B76" s="41"/>
      <c r="C76" t="s">
        <v>1287</v>
      </c>
      <c r="D76" t="s">
        <v>271</v>
      </c>
      <c r="E76" s="3">
        <f t="shared" si="2"/>
        <v>2</v>
      </c>
      <c r="F76">
        <v>45.6</v>
      </c>
      <c r="G76">
        <v>4</v>
      </c>
      <c r="H76">
        <v>13.73</v>
      </c>
      <c r="I76">
        <v>5.23</v>
      </c>
      <c r="J76">
        <v>2.23</v>
      </c>
      <c r="K76">
        <v>2</v>
      </c>
      <c r="L76">
        <v>8</v>
      </c>
      <c r="M76">
        <v>-0.5</v>
      </c>
      <c r="N76">
        <v>-3.5</v>
      </c>
      <c r="O76" s="19">
        <f t="shared" si="3"/>
        <v>1</v>
      </c>
      <c r="Q76" s="31"/>
      <c r="R76" s="1" t="s">
        <v>1467</v>
      </c>
      <c r="S76" s="24">
        <f>AVERAGE(M$2:M$21)</f>
        <v>-0.5</v>
      </c>
      <c r="T76" s="25"/>
      <c r="U76" s="24">
        <f>AVERAGE(M$22:M$41)</f>
        <v>3.3965000000000005</v>
      </c>
      <c r="V76" s="25"/>
      <c r="W76" s="24">
        <f>AVERAGE(M$42:M$61)</f>
        <v>7.3819999999999997</v>
      </c>
      <c r="X76" s="25"/>
    </row>
    <row r="77" spans="1:24" ht="15" customHeight="1" x14ac:dyDescent="0.25">
      <c r="A77" s="39"/>
      <c r="B77" s="41"/>
      <c r="C77" t="s">
        <v>1288</v>
      </c>
      <c r="D77" t="s">
        <v>271</v>
      </c>
      <c r="E77" s="3">
        <f t="shared" si="2"/>
        <v>2</v>
      </c>
      <c r="F77">
        <v>45.6</v>
      </c>
      <c r="G77">
        <v>4</v>
      </c>
      <c r="H77">
        <v>13.73</v>
      </c>
      <c r="I77">
        <v>5.23</v>
      </c>
      <c r="J77">
        <v>2.23</v>
      </c>
      <c r="K77">
        <v>2</v>
      </c>
      <c r="L77">
        <v>8</v>
      </c>
      <c r="M77">
        <v>-0.5</v>
      </c>
      <c r="N77">
        <v>-3.5</v>
      </c>
      <c r="O77" s="19">
        <f t="shared" si="3"/>
        <v>1</v>
      </c>
      <c r="Q77" s="31"/>
      <c r="R77" s="1" t="s">
        <v>1468</v>
      </c>
      <c r="S77" s="24">
        <f>AVERAGE(N$2:N$21)</f>
        <v>-3.5</v>
      </c>
      <c r="T77" s="25"/>
      <c r="U77" s="24">
        <f>AVERAGE(N$22:N$41)</f>
        <v>0.39649999999999996</v>
      </c>
      <c r="V77" s="25"/>
      <c r="W77" s="24">
        <f>AVERAGE(N$42:N$61)</f>
        <v>4.3819999999999997</v>
      </c>
      <c r="X77" s="25"/>
    </row>
    <row r="78" spans="1:24" x14ac:dyDescent="0.25">
      <c r="A78" s="39"/>
      <c r="B78" s="41"/>
      <c r="C78" t="s">
        <v>1289</v>
      </c>
      <c r="D78" t="s">
        <v>271</v>
      </c>
      <c r="E78" s="3">
        <f t="shared" si="2"/>
        <v>2</v>
      </c>
      <c r="F78">
        <v>45.6</v>
      </c>
      <c r="G78">
        <v>4</v>
      </c>
      <c r="H78">
        <v>13.73</v>
      </c>
      <c r="I78">
        <v>5.23</v>
      </c>
      <c r="J78">
        <v>2.23</v>
      </c>
      <c r="K78">
        <v>2</v>
      </c>
      <c r="L78">
        <v>8</v>
      </c>
      <c r="M78">
        <v>-0.5</v>
      </c>
      <c r="N78">
        <v>-3.5</v>
      </c>
      <c r="O78" s="19">
        <f t="shared" si="3"/>
        <v>1</v>
      </c>
      <c r="Q78" s="31"/>
      <c r="R78" s="1" t="s">
        <v>1464</v>
      </c>
      <c r="S78" s="24">
        <f>AVERAGE(H$2:H$21)</f>
        <v>11.319999999999997</v>
      </c>
      <c r="T78" s="25"/>
      <c r="U78" s="24">
        <f>AVERAGE(H$22:H$41)</f>
        <v>16.98</v>
      </c>
      <c r="V78" s="25"/>
      <c r="W78" s="24">
        <f>AVERAGE(H$42:H$61)</f>
        <v>22.639999999999993</v>
      </c>
      <c r="X78" s="25"/>
    </row>
    <row r="79" spans="1:24" x14ac:dyDescent="0.25">
      <c r="A79" s="39"/>
      <c r="B79" s="41"/>
      <c r="C79" t="s">
        <v>1290</v>
      </c>
      <c r="D79" t="s">
        <v>271</v>
      </c>
      <c r="E79" s="3">
        <f t="shared" si="2"/>
        <v>2</v>
      </c>
      <c r="F79">
        <v>45.6</v>
      </c>
      <c r="G79">
        <v>4</v>
      </c>
      <c r="H79">
        <v>13.73</v>
      </c>
      <c r="I79">
        <v>5.23</v>
      </c>
      <c r="J79">
        <v>2.23</v>
      </c>
      <c r="K79">
        <v>2</v>
      </c>
      <c r="L79">
        <v>8</v>
      </c>
      <c r="M79">
        <v>-0.5</v>
      </c>
      <c r="N79">
        <v>-3.5</v>
      </c>
      <c r="O79" s="19">
        <f t="shared" si="3"/>
        <v>1</v>
      </c>
      <c r="Q79" s="31"/>
      <c r="R79" s="1" t="s">
        <v>1465</v>
      </c>
      <c r="S79" s="24">
        <f>AVERAGE(I$2:I$21)</f>
        <v>2.82</v>
      </c>
      <c r="T79" s="25"/>
      <c r="U79" s="24">
        <f>AVERAGE(I$22:I$41)</f>
        <v>8.48</v>
      </c>
      <c r="V79" s="25"/>
      <c r="W79" s="24">
        <f>AVERAGE(I$42:I$61)</f>
        <v>14.139999999999995</v>
      </c>
      <c r="X79" s="25"/>
    </row>
    <row r="80" spans="1:24" x14ac:dyDescent="0.25">
      <c r="A80" s="39"/>
      <c r="B80" s="41"/>
      <c r="C80" t="s">
        <v>1291</v>
      </c>
      <c r="D80" t="s">
        <v>271</v>
      </c>
      <c r="E80" s="3">
        <f t="shared" si="2"/>
        <v>2</v>
      </c>
      <c r="F80">
        <v>45.6</v>
      </c>
      <c r="G80">
        <v>4</v>
      </c>
      <c r="H80">
        <v>13.73</v>
      </c>
      <c r="I80">
        <v>5.23</v>
      </c>
      <c r="J80">
        <v>2.23</v>
      </c>
      <c r="K80">
        <v>2</v>
      </c>
      <c r="L80">
        <v>8</v>
      </c>
      <c r="M80">
        <v>-0.5</v>
      </c>
      <c r="N80">
        <v>-3.5</v>
      </c>
      <c r="O80" s="19">
        <f t="shared" si="3"/>
        <v>1</v>
      </c>
      <c r="Q80" s="31"/>
      <c r="R80" s="1" t="s">
        <v>1466</v>
      </c>
      <c r="S80" s="24">
        <f>AVERAGE(J$2:J$21)</f>
        <v>-0.18000000000000005</v>
      </c>
      <c r="T80" s="25"/>
      <c r="U80" s="24">
        <f>AVERAGE(J$22:J$41)</f>
        <v>5.4800000000000022</v>
      </c>
      <c r="V80" s="25"/>
      <c r="W80" s="24">
        <f>AVERAGE(J$42:J$61)</f>
        <v>11.139999999999995</v>
      </c>
      <c r="X80" s="25"/>
    </row>
    <row r="81" spans="1:24" ht="15" customHeight="1" x14ac:dyDescent="0.25">
      <c r="A81" s="39"/>
      <c r="B81" s="42"/>
      <c r="C81" s="10" t="s">
        <v>1292</v>
      </c>
      <c r="D81" s="10" t="s">
        <v>271</v>
      </c>
      <c r="E81" s="11">
        <f t="shared" si="2"/>
        <v>2</v>
      </c>
      <c r="F81" s="10">
        <v>45.6</v>
      </c>
      <c r="G81" s="10">
        <v>4</v>
      </c>
      <c r="H81" s="10">
        <v>13.73</v>
      </c>
      <c r="I81" s="10">
        <v>5.23</v>
      </c>
      <c r="J81" s="10">
        <v>2.23</v>
      </c>
      <c r="K81" s="10">
        <v>2</v>
      </c>
      <c r="L81" s="10">
        <v>8</v>
      </c>
      <c r="M81" s="10">
        <v>-0.5</v>
      </c>
      <c r="N81" s="10">
        <v>-3.5</v>
      </c>
      <c r="O81" s="20">
        <f t="shared" si="3"/>
        <v>1</v>
      </c>
      <c r="Q81" s="29" t="s">
        <v>1</v>
      </c>
      <c r="R81" s="1" t="s">
        <v>1493</v>
      </c>
      <c r="S81" s="24">
        <f>AVERAGE(L$62:L$81)</f>
        <v>8</v>
      </c>
      <c r="T81" s="25"/>
      <c r="U81" s="24">
        <f>AVERAGE(L$82:L$101)</f>
        <v>11.9885</v>
      </c>
      <c r="V81" s="25"/>
      <c r="W81" s="24">
        <f>AVERAGE(L$102:L$121)</f>
        <v>15.974500000000001</v>
      </c>
      <c r="X81" s="25"/>
    </row>
    <row r="82" spans="1:24" x14ac:dyDescent="0.25">
      <c r="A82" s="39"/>
      <c r="B82" s="40" t="s">
        <v>6</v>
      </c>
      <c r="C82" s="7" t="s">
        <v>1293</v>
      </c>
      <c r="D82" s="7" t="s">
        <v>1232</v>
      </c>
      <c r="E82" s="8">
        <f t="shared" si="2"/>
        <v>3</v>
      </c>
      <c r="F82" s="7">
        <v>68.41</v>
      </c>
      <c r="G82" s="7">
        <v>4</v>
      </c>
      <c r="H82" s="7">
        <v>20.59</v>
      </c>
      <c r="I82" s="7">
        <v>12.09</v>
      </c>
      <c r="J82" s="7">
        <v>9.09</v>
      </c>
      <c r="K82" s="7">
        <v>4</v>
      </c>
      <c r="L82" s="7">
        <v>12</v>
      </c>
      <c r="M82" s="7">
        <v>3.5</v>
      </c>
      <c r="N82" s="7">
        <v>0.5</v>
      </c>
      <c r="O82" s="18">
        <f t="shared" si="3"/>
        <v>0.75</v>
      </c>
      <c r="Q82" s="29"/>
      <c r="R82" s="1" t="s">
        <v>1467</v>
      </c>
      <c r="S82" s="24">
        <f>AVERAGE(M$62:M$81)</f>
        <v>-0.5</v>
      </c>
      <c r="T82" s="25"/>
      <c r="U82" s="24">
        <f>AVERAGE(M$82:M$101)</f>
        <v>3.4885000000000006</v>
      </c>
      <c r="V82" s="25"/>
      <c r="W82" s="24">
        <f>AVERAGE(M$102:M$121)</f>
        <v>7.4749999999999996</v>
      </c>
      <c r="X82" s="25"/>
    </row>
    <row r="83" spans="1:24" ht="15" customHeight="1" x14ac:dyDescent="0.25">
      <c r="A83" s="39"/>
      <c r="B83" s="41"/>
      <c r="C83" t="s">
        <v>1294</v>
      </c>
      <c r="D83" t="s">
        <v>1232</v>
      </c>
      <c r="E83" s="3">
        <f t="shared" si="2"/>
        <v>3</v>
      </c>
      <c r="F83">
        <v>68.41</v>
      </c>
      <c r="G83">
        <v>4</v>
      </c>
      <c r="H83">
        <v>20.59</v>
      </c>
      <c r="I83">
        <v>12.09</v>
      </c>
      <c r="J83">
        <v>9.09</v>
      </c>
      <c r="K83">
        <v>4</v>
      </c>
      <c r="L83">
        <v>12</v>
      </c>
      <c r="M83">
        <v>3.5</v>
      </c>
      <c r="N83">
        <v>0.5</v>
      </c>
      <c r="O83" s="19">
        <f t="shared" si="3"/>
        <v>0.75</v>
      </c>
      <c r="Q83" s="29"/>
      <c r="R83" s="1" t="s">
        <v>1468</v>
      </c>
      <c r="S83" s="24">
        <f>AVERAGE(N$62:N$81)</f>
        <v>-3.5</v>
      </c>
      <c r="T83" s="25"/>
      <c r="U83" s="24">
        <f>AVERAGE(N$82:N$101)</f>
        <v>0.48849999999999999</v>
      </c>
      <c r="V83" s="25"/>
      <c r="W83" s="24">
        <f>AVERAGE(N$102:N$121)</f>
        <v>4.4749999999999996</v>
      </c>
      <c r="X83" s="25"/>
    </row>
    <row r="84" spans="1:24" x14ac:dyDescent="0.25">
      <c r="A84" s="39"/>
      <c r="B84" s="41"/>
      <c r="C84" t="s">
        <v>1295</v>
      </c>
      <c r="D84" t="s">
        <v>1232</v>
      </c>
      <c r="E84" s="3">
        <f t="shared" si="2"/>
        <v>3</v>
      </c>
      <c r="F84">
        <v>68.41</v>
      </c>
      <c r="G84">
        <v>4</v>
      </c>
      <c r="H84">
        <v>20.59</v>
      </c>
      <c r="I84">
        <v>12.09</v>
      </c>
      <c r="J84">
        <v>9.09</v>
      </c>
      <c r="K84">
        <v>4</v>
      </c>
      <c r="L84">
        <v>12</v>
      </c>
      <c r="M84">
        <v>3.5</v>
      </c>
      <c r="N84">
        <v>0.5</v>
      </c>
      <c r="O84" s="19">
        <f t="shared" si="3"/>
        <v>0.75</v>
      </c>
      <c r="Q84" s="29"/>
      <c r="R84" s="1" t="s">
        <v>1464</v>
      </c>
      <c r="S84" s="24">
        <f>AVERAGE(H$62:H$81)</f>
        <v>13.729999999999999</v>
      </c>
      <c r="T84" s="25"/>
      <c r="U84" s="24">
        <f>AVERAGE(H$82:H$101)</f>
        <v>20.589999999999993</v>
      </c>
      <c r="V84" s="25"/>
      <c r="W84" s="24">
        <f>AVERAGE(H$102:H$121)</f>
        <v>27.459999999999997</v>
      </c>
      <c r="X84" s="25"/>
    </row>
    <row r="85" spans="1:24" ht="15" customHeight="1" x14ac:dyDescent="0.25">
      <c r="A85" s="39"/>
      <c r="B85" s="41"/>
      <c r="C85" t="s">
        <v>1296</v>
      </c>
      <c r="D85" t="s">
        <v>1232</v>
      </c>
      <c r="E85" s="3">
        <f t="shared" si="2"/>
        <v>3</v>
      </c>
      <c r="F85">
        <v>68.41</v>
      </c>
      <c r="G85">
        <v>4</v>
      </c>
      <c r="H85">
        <v>20.59</v>
      </c>
      <c r="I85">
        <v>12.09</v>
      </c>
      <c r="J85">
        <v>9.09</v>
      </c>
      <c r="K85">
        <v>4</v>
      </c>
      <c r="L85">
        <v>12</v>
      </c>
      <c r="M85">
        <v>3.5</v>
      </c>
      <c r="N85">
        <v>0.5</v>
      </c>
      <c r="O85" s="19">
        <f t="shared" si="3"/>
        <v>0.75</v>
      </c>
      <c r="Q85" s="29"/>
      <c r="R85" s="1" t="s">
        <v>1465</v>
      </c>
      <c r="S85" s="24">
        <f>AVERAGE(I$62:I$81)</f>
        <v>5.2300000000000022</v>
      </c>
      <c r="T85" s="25"/>
      <c r="U85" s="24">
        <f>AVERAGE(I$82:I$101)</f>
        <v>12.090000000000002</v>
      </c>
      <c r="V85" s="25"/>
      <c r="W85" s="24">
        <f>AVERAGE(I$102:I$121)</f>
        <v>18.959999999999997</v>
      </c>
      <c r="X85" s="25"/>
    </row>
    <row r="86" spans="1:24" x14ac:dyDescent="0.25">
      <c r="A86" s="39"/>
      <c r="B86" s="41"/>
      <c r="C86" t="s">
        <v>1297</v>
      </c>
      <c r="D86" t="s">
        <v>1232</v>
      </c>
      <c r="E86" s="3">
        <f t="shared" si="2"/>
        <v>3</v>
      </c>
      <c r="F86">
        <v>68.41</v>
      </c>
      <c r="G86">
        <v>4</v>
      </c>
      <c r="H86">
        <v>20.59</v>
      </c>
      <c r="I86">
        <v>12.09</v>
      </c>
      <c r="J86">
        <v>9.09</v>
      </c>
      <c r="K86">
        <v>4</v>
      </c>
      <c r="L86">
        <v>12</v>
      </c>
      <c r="M86">
        <v>3.5</v>
      </c>
      <c r="N86">
        <v>0.5</v>
      </c>
      <c r="O86" s="19">
        <f t="shared" si="3"/>
        <v>0.75</v>
      </c>
      <c r="Q86" s="29"/>
      <c r="R86" s="1" t="s">
        <v>1466</v>
      </c>
      <c r="S86" s="24">
        <f>AVERAGE(J$62:J$81)</f>
        <v>2.2299999999999995</v>
      </c>
      <c r="T86" s="25"/>
      <c r="U86" s="24">
        <f>AVERAGE(J$82:J$101)</f>
        <v>9.0900000000000016</v>
      </c>
      <c r="V86" s="25"/>
      <c r="W86" s="24">
        <f>AVERAGE(J$102:J$121)</f>
        <v>15.960000000000003</v>
      </c>
      <c r="X86" s="25"/>
    </row>
    <row r="87" spans="1:24" x14ac:dyDescent="0.25">
      <c r="A87" s="39"/>
      <c r="B87" s="41"/>
      <c r="C87" t="s">
        <v>1298</v>
      </c>
      <c r="D87" t="s">
        <v>1232</v>
      </c>
      <c r="E87" s="3">
        <f t="shared" si="2"/>
        <v>3</v>
      </c>
      <c r="F87">
        <v>68.41</v>
      </c>
      <c r="G87">
        <v>4</v>
      </c>
      <c r="H87">
        <v>20.59</v>
      </c>
      <c r="I87">
        <v>12.09</v>
      </c>
      <c r="J87">
        <v>9.09</v>
      </c>
      <c r="K87">
        <v>4</v>
      </c>
      <c r="L87">
        <v>12</v>
      </c>
      <c r="M87">
        <v>3.5</v>
      </c>
      <c r="N87">
        <v>0.5</v>
      </c>
      <c r="O87" s="19">
        <f t="shared" si="3"/>
        <v>0.75</v>
      </c>
      <c r="Q87" s="28" t="s">
        <v>2</v>
      </c>
      <c r="R87" s="1" t="s">
        <v>1493</v>
      </c>
      <c r="S87" s="24">
        <f>AVERAGE(L$122:L$141)</f>
        <v>7.9064999999999994</v>
      </c>
      <c r="T87" s="25"/>
      <c r="U87" s="24">
        <f>AVERAGE(L$142:L$161)</f>
        <v>11.927</v>
      </c>
      <c r="V87" s="25"/>
      <c r="W87" s="24">
        <f>AVERAGE(L$162:L$181)</f>
        <v>15.975999999999999</v>
      </c>
      <c r="X87" s="25"/>
    </row>
    <row r="88" spans="1:24" x14ac:dyDescent="0.25">
      <c r="A88" s="39"/>
      <c r="B88" s="41"/>
      <c r="C88" t="s">
        <v>1299</v>
      </c>
      <c r="D88" t="s">
        <v>1232</v>
      </c>
      <c r="E88" s="3">
        <f t="shared" si="2"/>
        <v>3</v>
      </c>
      <c r="F88">
        <v>68.41</v>
      </c>
      <c r="G88">
        <v>4</v>
      </c>
      <c r="H88">
        <v>20.59</v>
      </c>
      <c r="I88">
        <v>12.09</v>
      </c>
      <c r="J88">
        <v>9.09</v>
      </c>
      <c r="K88">
        <v>4</v>
      </c>
      <c r="L88">
        <v>12</v>
      </c>
      <c r="M88">
        <v>3.5</v>
      </c>
      <c r="N88">
        <v>0.5</v>
      </c>
      <c r="O88" s="19">
        <f t="shared" si="3"/>
        <v>0.75</v>
      </c>
      <c r="Q88" s="28"/>
      <c r="R88" s="1" t="s">
        <v>1467</v>
      </c>
      <c r="S88" s="24">
        <f>AVERAGE(M$122:M$141)</f>
        <v>-0.59299999999999997</v>
      </c>
      <c r="T88" s="25"/>
      <c r="U88" s="24">
        <f>AVERAGE(M$142:M$161)</f>
        <v>3.4270000000000005</v>
      </c>
      <c r="V88" s="25"/>
      <c r="W88" s="24">
        <f>AVERAGE(M$162:M$181)</f>
        <v>7.4760000000000009</v>
      </c>
      <c r="X88" s="25"/>
    </row>
    <row r="89" spans="1:24" ht="15" customHeight="1" x14ac:dyDescent="0.25">
      <c r="A89" s="39"/>
      <c r="B89" s="41"/>
      <c r="C89" t="s">
        <v>1300</v>
      </c>
      <c r="D89" t="s">
        <v>1232</v>
      </c>
      <c r="E89" s="3">
        <f t="shared" si="2"/>
        <v>3</v>
      </c>
      <c r="F89">
        <v>68.41</v>
      </c>
      <c r="G89">
        <v>4</v>
      </c>
      <c r="H89">
        <v>20.59</v>
      </c>
      <c r="I89">
        <v>12.09</v>
      </c>
      <c r="J89">
        <v>9.09</v>
      </c>
      <c r="K89">
        <v>4</v>
      </c>
      <c r="L89">
        <v>12</v>
      </c>
      <c r="M89">
        <v>3.5</v>
      </c>
      <c r="N89">
        <v>0.5</v>
      </c>
      <c r="O89" s="19">
        <f t="shared" si="3"/>
        <v>0.75</v>
      </c>
      <c r="Q89" s="28"/>
      <c r="R89" s="1" t="s">
        <v>1468</v>
      </c>
      <c r="S89" s="24">
        <f>AVERAGE(N$122:N$141)</f>
        <v>-3.593</v>
      </c>
      <c r="T89" s="25"/>
      <c r="U89" s="24">
        <f>AVERAGE(N$142:N$161)</f>
        <v>0.42699999999999994</v>
      </c>
      <c r="V89" s="25"/>
      <c r="W89" s="24">
        <f>AVERAGE(N$162:N$181)</f>
        <v>4.476</v>
      </c>
      <c r="X89" s="25"/>
    </row>
    <row r="90" spans="1:24" x14ac:dyDescent="0.25">
      <c r="A90" s="39"/>
      <c r="B90" s="41"/>
      <c r="C90" t="s">
        <v>1301</v>
      </c>
      <c r="D90" t="s">
        <v>1232</v>
      </c>
      <c r="E90" s="3">
        <f t="shared" si="2"/>
        <v>3</v>
      </c>
      <c r="F90">
        <v>68.41</v>
      </c>
      <c r="G90">
        <v>4</v>
      </c>
      <c r="H90">
        <v>20.59</v>
      </c>
      <c r="I90">
        <v>12.09</v>
      </c>
      <c r="J90">
        <v>9.09</v>
      </c>
      <c r="K90">
        <v>4</v>
      </c>
      <c r="L90">
        <v>12</v>
      </c>
      <c r="M90">
        <v>3.5</v>
      </c>
      <c r="N90">
        <v>0.5</v>
      </c>
      <c r="O90" s="19">
        <f t="shared" si="3"/>
        <v>0.75</v>
      </c>
      <c r="Q90" s="28"/>
      <c r="R90" s="1" t="s">
        <v>1464</v>
      </c>
      <c r="S90" s="24">
        <f>AVERAGE(H$122:H$141)</f>
        <v>14.637999999999996</v>
      </c>
      <c r="T90" s="25"/>
      <c r="U90" s="24">
        <f>AVERAGE(H$142:H$161)</f>
        <v>21.957999999999995</v>
      </c>
      <c r="V90" s="25"/>
      <c r="W90" s="24">
        <f>AVERAGE(H$162:H$181)</f>
        <v>29.340999999999998</v>
      </c>
      <c r="X90" s="25"/>
    </row>
    <row r="91" spans="1:24" x14ac:dyDescent="0.25">
      <c r="A91" s="39"/>
      <c r="B91" s="41"/>
      <c r="C91" t="s">
        <v>1302</v>
      </c>
      <c r="D91" t="s">
        <v>1232</v>
      </c>
      <c r="E91" s="3">
        <f t="shared" si="2"/>
        <v>3</v>
      </c>
      <c r="F91">
        <v>68.41</v>
      </c>
      <c r="G91">
        <v>4</v>
      </c>
      <c r="H91">
        <v>20.59</v>
      </c>
      <c r="I91">
        <v>12.09</v>
      </c>
      <c r="J91">
        <v>9.09</v>
      </c>
      <c r="K91">
        <v>4</v>
      </c>
      <c r="L91">
        <v>12</v>
      </c>
      <c r="M91">
        <v>3.5</v>
      </c>
      <c r="N91">
        <v>0.5</v>
      </c>
      <c r="O91" s="19">
        <f t="shared" si="3"/>
        <v>0.75</v>
      </c>
      <c r="Q91" s="28"/>
      <c r="R91" s="1" t="s">
        <v>1465</v>
      </c>
      <c r="S91" s="24">
        <f>AVERAGE(I$122:I$141)</f>
        <v>6.142000000000003</v>
      </c>
      <c r="T91" s="25"/>
      <c r="U91" s="24">
        <f>AVERAGE(I$142:I$161)</f>
        <v>13.457999999999998</v>
      </c>
      <c r="V91" s="25"/>
      <c r="W91" s="24">
        <f>AVERAGE(I$162:I$181)</f>
        <v>20.841000000000005</v>
      </c>
      <c r="X91" s="25"/>
    </row>
    <row r="92" spans="1:24" ht="15" customHeight="1" x14ac:dyDescent="0.25">
      <c r="A92" s="39"/>
      <c r="B92" s="41"/>
      <c r="C92" t="s">
        <v>1303</v>
      </c>
      <c r="D92" t="s">
        <v>1232</v>
      </c>
      <c r="E92" s="3">
        <f t="shared" si="2"/>
        <v>3</v>
      </c>
      <c r="F92">
        <v>68.41</v>
      </c>
      <c r="G92">
        <v>4</v>
      </c>
      <c r="H92">
        <v>20.59</v>
      </c>
      <c r="I92">
        <v>12.09</v>
      </c>
      <c r="J92">
        <v>9.09</v>
      </c>
      <c r="K92">
        <v>4</v>
      </c>
      <c r="L92">
        <v>12</v>
      </c>
      <c r="M92">
        <v>3.5</v>
      </c>
      <c r="N92">
        <v>0.5</v>
      </c>
      <c r="O92" s="19">
        <f t="shared" si="3"/>
        <v>0.75</v>
      </c>
      <c r="Q92" s="28"/>
      <c r="R92" s="1" t="s">
        <v>1466</v>
      </c>
      <c r="S92" s="24">
        <f>AVERAGE(J$122:J$141)</f>
        <v>3.1419999999999995</v>
      </c>
      <c r="T92" s="25"/>
      <c r="U92" s="24">
        <f>AVERAGE(J$142:J$161)</f>
        <v>10.457999999999998</v>
      </c>
      <c r="V92" s="25"/>
      <c r="W92" s="24">
        <f>AVERAGE(J$162:J$181)</f>
        <v>17.841000000000005</v>
      </c>
      <c r="X92" s="25"/>
    </row>
    <row r="93" spans="1:24" x14ac:dyDescent="0.25">
      <c r="A93" s="39"/>
      <c r="B93" s="41"/>
      <c r="C93" t="s">
        <v>1304</v>
      </c>
      <c r="D93" t="s">
        <v>1232</v>
      </c>
      <c r="E93" s="3">
        <f t="shared" si="2"/>
        <v>3</v>
      </c>
      <c r="F93">
        <v>68.41</v>
      </c>
      <c r="G93">
        <v>4</v>
      </c>
      <c r="H93">
        <v>20.59</v>
      </c>
      <c r="I93">
        <v>12.09</v>
      </c>
      <c r="J93">
        <v>9.09</v>
      </c>
      <c r="K93">
        <v>4</v>
      </c>
      <c r="L93">
        <v>12</v>
      </c>
      <c r="M93">
        <v>3.5</v>
      </c>
      <c r="N93">
        <v>0.5</v>
      </c>
      <c r="O93" s="19">
        <f t="shared" si="3"/>
        <v>0.75</v>
      </c>
      <c r="Q93" s="27" t="s">
        <v>1491</v>
      </c>
      <c r="R93" s="1" t="s">
        <v>1493</v>
      </c>
      <c r="S93" s="24">
        <f>AVERAGE(L$182:L$201)</f>
        <v>8</v>
      </c>
      <c r="T93" s="25"/>
      <c r="U93" s="24">
        <f>AVERAGE(L$202:L$221)</f>
        <v>12</v>
      </c>
      <c r="V93" s="25"/>
      <c r="W93" s="24">
        <f>AVERAGE(L$222:L$241)</f>
        <v>15.987</v>
      </c>
      <c r="X93" s="25"/>
    </row>
    <row r="94" spans="1:24" x14ac:dyDescent="0.25">
      <c r="A94" s="39"/>
      <c r="B94" s="41"/>
      <c r="C94" t="s">
        <v>1305</v>
      </c>
      <c r="D94" t="s">
        <v>1232</v>
      </c>
      <c r="E94" s="3">
        <f t="shared" si="2"/>
        <v>3</v>
      </c>
      <c r="F94">
        <v>68.41</v>
      </c>
      <c r="G94">
        <v>4</v>
      </c>
      <c r="H94">
        <v>20.59</v>
      </c>
      <c r="I94">
        <v>12.09</v>
      </c>
      <c r="J94">
        <v>9.09</v>
      </c>
      <c r="K94">
        <v>4</v>
      </c>
      <c r="L94">
        <v>12</v>
      </c>
      <c r="M94">
        <v>3.5</v>
      </c>
      <c r="N94">
        <v>0.5</v>
      </c>
      <c r="O94" s="19">
        <f t="shared" si="3"/>
        <v>0.75</v>
      </c>
      <c r="Q94" s="27"/>
      <c r="R94" s="1" t="s">
        <v>1467</v>
      </c>
      <c r="S94" s="24">
        <f>AVERAGE(M$182:M$201)</f>
        <v>-0.5</v>
      </c>
      <c r="T94" s="25"/>
      <c r="U94" s="24">
        <f>AVERAGE(M$202:M$221)</f>
        <v>3.5</v>
      </c>
      <c r="V94" s="25"/>
      <c r="W94" s="24">
        <f>AVERAGE(M$222:M$241)</f>
        <v>7.4870000000000001</v>
      </c>
      <c r="X94" s="25"/>
    </row>
    <row r="95" spans="1:24" x14ac:dyDescent="0.25">
      <c r="A95" s="39"/>
      <c r="B95" s="41"/>
      <c r="C95" t="s">
        <v>1306</v>
      </c>
      <c r="D95" t="s">
        <v>1232</v>
      </c>
      <c r="E95" s="3">
        <f t="shared" si="2"/>
        <v>3</v>
      </c>
      <c r="F95">
        <v>68.41</v>
      </c>
      <c r="G95">
        <v>4</v>
      </c>
      <c r="H95">
        <v>20.59</v>
      </c>
      <c r="I95">
        <v>12.09</v>
      </c>
      <c r="J95">
        <v>9.09</v>
      </c>
      <c r="K95">
        <v>4</v>
      </c>
      <c r="L95">
        <v>11.77</v>
      </c>
      <c r="M95">
        <v>3.27</v>
      </c>
      <c r="N95">
        <v>0.27</v>
      </c>
      <c r="O95" s="19">
        <f t="shared" si="3"/>
        <v>0.75</v>
      </c>
      <c r="Q95" s="27"/>
      <c r="R95" s="1" t="s">
        <v>1468</v>
      </c>
      <c r="S95" s="24">
        <f>AVERAGE(N$182:N$201)</f>
        <v>-3.5</v>
      </c>
      <c r="T95" s="25"/>
      <c r="U95" s="24">
        <f>AVERAGE(N$202:N$221)</f>
        <v>0.5</v>
      </c>
      <c r="V95" s="25"/>
      <c r="W95" s="24">
        <f>AVERAGE(N$222:N$241)</f>
        <v>4.4870000000000001</v>
      </c>
      <c r="X95" s="25"/>
    </row>
    <row r="96" spans="1:24" x14ac:dyDescent="0.25">
      <c r="A96" s="39"/>
      <c r="B96" s="41"/>
      <c r="C96" t="s">
        <v>1307</v>
      </c>
      <c r="D96" t="s">
        <v>1232</v>
      </c>
      <c r="E96" s="3">
        <f t="shared" si="2"/>
        <v>3</v>
      </c>
      <c r="F96">
        <v>68.41</v>
      </c>
      <c r="G96">
        <v>4</v>
      </c>
      <c r="H96">
        <v>20.59</v>
      </c>
      <c r="I96">
        <v>12.09</v>
      </c>
      <c r="J96">
        <v>9.09</v>
      </c>
      <c r="K96">
        <v>4</v>
      </c>
      <c r="L96">
        <v>12</v>
      </c>
      <c r="M96">
        <v>3.5</v>
      </c>
      <c r="N96">
        <v>0.5</v>
      </c>
      <c r="O96" s="19">
        <f t="shared" si="3"/>
        <v>0.75</v>
      </c>
      <c r="Q96" s="27"/>
      <c r="R96" s="1" t="s">
        <v>1464</v>
      </c>
      <c r="S96" s="24">
        <f>AVERAGE(H$182:H$201)</f>
        <v>14.933499999999999</v>
      </c>
      <c r="T96" s="25"/>
      <c r="U96" s="24">
        <f>AVERAGE(H$202:H$221)</f>
        <v>22.74</v>
      </c>
      <c r="V96" s="25"/>
      <c r="W96" s="24">
        <f>AVERAGE(H$222:H$241)</f>
        <v>31.097500000000007</v>
      </c>
      <c r="X96" s="25"/>
    </row>
    <row r="97" spans="1:24" x14ac:dyDescent="0.25">
      <c r="A97" s="39"/>
      <c r="B97" s="41"/>
      <c r="C97" t="s">
        <v>1308</v>
      </c>
      <c r="D97" t="s">
        <v>1232</v>
      </c>
      <c r="E97" s="3">
        <f t="shared" si="2"/>
        <v>3</v>
      </c>
      <c r="F97">
        <v>68.41</v>
      </c>
      <c r="G97">
        <v>4</v>
      </c>
      <c r="H97">
        <v>20.59</v>
      </c>
      <c r="I97">
        <v>12.09</v>
      </c>
      <c r="J97">
        <v>9.09</v>
      </c>
      <c r="K97">
        <v>4</v>
      </c>
      <c r="L97">
        <v>12</v>
      </c>
      <c r="M97">
        <v>3.5</v>
      </c>
      <c r="N97">
        <v>0.5</v>
      </c>
      <c r="O97" s="19">
        <f t="shared" si="3"/>
        <v>0.75</v>
      </c>
      <c r="Q97" s="27"/>
      <c r="R97" s="1" t="s">
        <v>1465</v>
      </c>
      <c r="S97" s="24">
        <f>AVERAGE(I$182:I$201)</f>
        <v>6.4345000000000026</v>
      </c>
      <c r="T97" s="25"/>
      <c r="U97" s="24">
        <f>AVERAGE(I$202:I$221)</f>
        <v>14.239999999999998</v>
      </c>
      <c r="V97" s="25"/>
      <c r="W97" s="24">
        <f>AVERAGE(I$222:I$241)</f>
        <v>22.5975</v>
      </c>
      <c r="X97" s="25"/>
    </row>
    <row r="98" spans="1:24" x14ac:dyDescent="0.25">
      <c r="A98" s="39"/>
      <c r="B98" s="41"/>
      <c r="C98" t="s">
        <v>1309</v>
      </c>
      <c r="D98" t="s">
        <v>1232</v>
      </c>
      <c r="E98" s="3">
        <f t="shared" si="2"/>
        <v>3</v>
      </c>
      <c r="F98">
        <v>68.41</v>
      </c>
      <c r="G98">
        <v>4</v>
      </c>
      <c r="H98">
        <v>20.59</v>
      </c>
      <c r="I98">
        <v>12.09</v>
      </c>
      <c r="J98">
        <v>9.09</v>
      </c>
      <c r="K98">
        <v>4</v>
      </c>
      <c r="L98">
        <v>12</v>
      </c>
      <c r="M98">
        <v>3.5</v>
      </c>
      <c r="N98">
        <v>0.5</v>
      </c>
      <c r="O98" s="19">
        <f t="shared" si="3"/>
        <v>0.75</v>
      </c>
      <c r="Q98" s="27"/>
      <c r="R98" s="1" t="s">
        <v>1466</v>
      </c>
      <c r="S98" s="24">
        <f>AVERAGE(J$182:J$201)</f>
        <v>3.434499999999999</v>
      </c>
      <c r="T98" s="25"/>
      <c r="U98" s="24">
        <f>AVERAGE(J$202:J$221)</f>
        <v>11.24</v>
      </c>
      <c r="V98" s="25"/>
      <c r="W98" s="24">
        <f>AVERAGE(J$222:J$241)</f>
        <v>19.597499999999997</v>
      </c>
      <c r="X98" s="25"/>
    </row>
    <row r="99" spans="1:24" x14ac:dyDescent="0.25">
      <c r="A99" s="39"/>
      <c r="B99" s="41"/>
      <c r="C99" t="s">
        <v>1310</v>
      </c>
      <c r="D99" t="s">
        <v>1232</v>
      </c>
      <c r="E99" s="3">
        <f t="shared" si="2"/>
        <v>3</v>
      </c>
      <c r="F99">
        <v>68.41</v>
      </c>
      <c r="G99">
        <v>4</v>
      </c>
      <c r="H99">
        <v>20.59</v>
      </c>
      <c r="I99">
        <v>12.09</v>
      </c>
      <c r="J99">
        <v>9.09</v>
      </c>
      <c r="K99">
        <v>4</v>
      </c>
      <c r="L99">
        <v>12</v>
      </c>
      <c r="M99">
        <v>3.5</v>
      </c>
      <c r="N99">
        <v>0.5</v>
      </c>
      <c r="O99" s="19">
        <f t="shared" si="3"/>
        <v>0.75</v>
      </c>
    </row>
    <row r="100" spans="1:24" ht="15" customHeight="1" x14ac:dyDescent="0.25">
      <c r="A100" s="39"/>
      <c r="B100" s="41"/>
      <c r="C100" t="s">
        <v>1311</v>
      </c>
      <c r="D100" t="s">
        <v>1232</v>
      </c>
      <c r="E100" s="3">
        <f t="shared" si="2"/>
        <v>3</v>
      </c>
      <c r="F100">
        <v>68.41</v>
      </c>
      <c r="G100">
        <v>4</v>
      </c>
      <c r="H100">
        <v>20.59</v>
      </c>
      <c r="I100">
        <v>12.09</v>
      </c>
      <c r="J100">
        <v>9.09</v>
      </c>
      <c r="K100">
        <v>4</v>
      </c>
      <c r="L100">
        <v>12</v>
      </c>
      <c r="M100">
        <v>3.5</v>
      </c>
      <c r="N100">
        <v>0.5</v>
      </c>
      <c r="O100" s="19">
        <f t="shared" si="3"/>
        <v>0.75</v>
      </c>
      <c r="R100" s="1"/>
      <c r="S100" s="30" t="s">
        <v>1460</v>
      </c>
      <c r="T100" s="30"/>
      <c r="U100" s="30" t="s">
        <v>1461</v>
      </c>
      <c r="V100" s="30"/>
      <c r="W100" s="30" t="s">
        <v>1462</v>
      </c>
      <c r="X100" s="30"/>
    </row>
    <row r="101" spans="1:24" x14ac:dyDescent="0.25">
      <c r="A101" s="39"/>
      <c r="B101" s="42"/>
      <c r="C101" s="10" t="s">
        <v>1312</v>
      </c>
      <c r="D101" s="10" t="s">
        <v>1232</v>
      </c>
      <c r="E101" s="11">
        <f t="shared" si="2"/>
        <v>3</v>
      </c>
      <c r="F101" s="10">
        <v>68.41</v>
      </c>
      <c r="G101" s="10">
        <v>4</v>
      </c>
      <c r="H101" s="10">
        <v>20.59</v>
      </c>
      <c r="I101" s="10">
        <v>12.09</v>
      </c>
      <c r="J101" s="10">
        <v>9.09</v>
      </c>
      <c r="K101" s="10">
        <v>4</v>
      </c>
      <c r="L101" s="10">
        <v>12</v>
      </c>
      <c r="M101" s="10">
        <v>3.5</v>
      </c>
      <c r="N101" s="10">
        <v>0.5</v>
      </c>
      <c r="O101" s="20">
        <f t="shared" si="3"/>
        <v>0.75</v>
      </c>
      <c r="R101" s="1" t="s">
        <v>0</v>
      </c>
      <c r="S101" s="24">
        <f>AVERAGE(O$2:O$21)</f>
        <v>1</v>
      </c>
      <c r="T101" s="25"/>
      <c r="U101" s="24">
        <f>AVERAGE(O$22:O$41)</f>
        <v>0.75</v>
      </c>
      <c r="V101" s="25"/>
      <c r="W101" s="24">
        <f>AVERAGE(O$42:O$61)</f>
        <v>1</v>
      </c>
      <c r="X101" s="25"/>
    </row>
    <row r="102" spans="1:24" x14ac:dyDescent="0.25">
      <c r="A102" s="39"/>
      <c r="B102" s="40" t="s">
        <v>5</v>
      </c>
      <c r="C102" s="7" t="s">
        <v>1313</v>
      </c>
      <c r="D102" s="7" t="s">
        <v>181</v>
      </c>
      <c r="E102" s="8">
        <f t="shared" si="2"/>
        <v>4</v>
      </c>
      <c r="F102" s="7">
        <v>91.21</v>
      </c>
      <c r="G102" s="7">
        <v>4</v>
      </c>
      <c r="H102" s="7">
        <v>27.46</v>
      </c>
      <c r="I102" s="7">
        <v>18.96</v>
      </c>
      <c r="J102" s="7">
        <v>15.96</v>
      </c>
      <c r="K102" s="7">
        <v>4</v>
      </c>
      <c r="L102" s="7">
        <v>16</v>
      </c>
      <c r="M102" s="7">
        <v>7.5</v>
      </c>
      <c r="N102" s="7">
        <v>4.5</v>
      </c>
      <c r="O102" s="18">
        <f t="shared" si="3"/>
        <v>1</v>
      </c>
      <c r="R102" s="1" t="s">
        <v>1</v>
      </c>
      <c r="S102" s="24">
        <f>AVERAGE(O$62:O$81)</f>
        <v>1</v>
      </c>
      <c r="T102" s="25"/>
      <c r="U102" s="24">
        <f>AVERAGE(O$82:O$101)</f>
        <v>0.75</v>
      </c>
      <c r="V102" s="25"/>
      <c r="W102" s="24">
        <f>AVERAGE(O$102:O$121)</f>
        <v>1</v>
      </c>
      <c r="X102" s="25"/>
    </row>
    <row r="103" spans="1:24" x14ac:dyDescent="0.25">
      <c r="A103" s="39"/>
      <c r="B103" s="41"/>
      <c r="C103" t="s">
        <v>1314</v>
      </c>
      <c r="D103" t="s">
        <v>181</v>
      </c>
      <c r="E103" s="3">
        <f t="shared" si="2"/>
        <v>4</v>
      </c>
      <c r="F103">
        <v>91.21</v>
      </c>
      <c r="G103">
        <v>4</v>
      </c>
      <c r="H103">
        <v>27.46</v>
      </c>
      <c r="I103">
        <v>18.96</v>
      </c>
      <c r="J103">
        <v>15.96</v>
      </c>
      <c r="K103">
        <v>4</v>
      </c>
      <c r="L103">
        <v>16</v>
      </c>
      <c r="M103">
        <v>7.5</v>
      </c>
      <c r="N103">
        <v>4.5</v>
      </c>
      <c r="O103" s="19">
        <f t="shared" si="3"/>
        <v>1</v>
      </c>
      <c r="R103" s="1" t="s">
        <v>2</v>
      </c>
      <c r="S103" s="24">
        <f>AVERAGE(O$122:O$141)</f>
        <v>0.95</v>
      </c>
      <c r="T103" s="25"/>
      <c r="U103" s="24">
        <f>AVERAGE(O$142:O$161)</f>
        <v>0.75</v>
      </c>
      <c r="V103" s="25"/>
      <c r="W103" s="24">
        <f>AVERAGE(O$162:O$181)</f>
        <v>1</v>
      </c>
      <c r="X103" s="25"/>
    </row>
    <row r="104" spans="1:24" x14ac:dyDescent="0.25">
      <c r="A104" s="39"/>
      <c r="B104" s="41"/>
      <c r="C104" t="s">
        <v>1315</v>
      </c>
      <c r="D104" t="s">
        <v>181</v>
      </c>
      <c r="E104" s="3">
        <f t="shared" si="2"/>
        <v>4</v>
      </c>
      <c r="F104">
        <v>91.21</v>
      </c>
      <c r="G104">
        <v>4</v>
      </c>
      <c r="H104">
        <v>27.46</v>
      </c>
      <c r="I104">
        <v>18.96</v>
      </c>
      <c r="J104">
        <v>15.96</v>
      </c>
      <c r="K104">
        <v>4</v>
      </c>
      <c r="L104">
        <v>16</v>
      </c>
      <c r="M104">
        <v>7.5</v>
      </c>
      <c r="N104">
        <v>4.5</v>
      </c>
      <c r="O104" s="19">
        <f t="shared" si="3"/>
        <v>1</v>
      </c>
      <c r="R104" s="1" t="s">
        <v>1491</v>
      </c>
      <c r="S104" s="24">
        <f>AVERAGE(O$182:O$201)</f>
        <v>1</v>
      </c>
      <c r="T104" s="25"/>
      <c r="U104" s="24">
        <f>AVERAGE(O$202:O$221)</f>
        <v>0.75</v>
      </c>
      <c r="V104" s="25"/>
      <c r="W104" s="24">
        <f>AVERAGE(O$222:O$241)</f>
        <v>1</v>
      </c>
      <c r="X104" s="25"/>
    </row>
    <row r="105" spans="1:24" x14ac:dyDescent="0.25">
      <c r="A105" s="39"/>
      <c r="B105" s="41"/>
      <c r="C105" t="s">
        <v>1316</v>
      </c>
      <c r="D105" t="s">
        <v>181</v>
      </c>
      <c r="E105" s="3">
        <f t="shared" si="2"/>
        <v>4</v>
      </c>
      <c r="F105">
        <v>91.21</v>
      </c>
      <c r="G105">
        <v>4</v>
      </c>
      <c r="H105">
        <v>27.46</v>
      </c>
      <c r="I105">
        <v>18.96</v>
      </c>
      <c r="J105">
        <v>15.96</v>
      </c>
      <c r="K105">
        <v>4</v>
      </c>
      <c r="L105">
        <v>16</v>
      </c>
      <c r="M105">
        <v>7.5</v>
      </c>
      <c r="N105">
        <v>4.5</v>
      </c>
      <c r="O105" s="19">
        <f t="shared" si="3"/>
        <v>1</v>
      </c>
    </row>
    <row r="106" spans="1:24" x14ac:dyDescent="0.25">
      <c r="A106" s="39"/>
      <c r="B106" s="41"/>
      <c r="C106" t="s">
        <v>1317</v>
      </c>
      <c r="D106" t="s">
        <v>181</v>
      </c>
      <c r="E106" s="3">
        <f t="shared" si="2"/>
        <v>4</v>
      </c>
      <c r="F106">
        <v>91.21</v>
      </c>
      <c r="G106">
        <v>4</v>
      </c>
      <c r="H106">
        <v>27.46</v>
      </c>
      <c r="I106">
        <v>18.96</v>
      </c>
      <c r="J106">
        <v>15.96</v>
      </c>
      <c r="K106">
        <v>4</v>
      </c>
      <c r="L106">
        <v>16</v>
      </c>
      <c r="M106">
        <v>7.5</v>
      </c>
      <c r="N106">
        <v>4.5</v>
      </c>
      <c r="O106" s="19">
        <f t="shared" si="3"/>
        <v>1</v>
      </c>
    </row>
    <row r="107" spans="1:24" x14ac:dyDescent="0.25">
      <c r="A107" s="39"/>
      <c r="B107" s="41"/>
      <c r="C107" t="s">
        <v>1318</v>
      </c>
      <c r="D107" t="s">
        <v>181</v>
      </c>
      <c r="E107" s="3">
        <f t="shared" si="2"/>
        <v>4</v>
      </c>
      <c r="F107">
        <v>91.21</v>
      </c>
      <c r="G107">
        <v>4</v>
      </c>
      <c r="H107">
        <v>27.46</v>
      </c>
      <c r="I107">
        <v>18.96</v>
      </c>
      <c r="J107">
        <v>15.96</v>
      </c>
      <c r="K107">
        <v>4</v>
      </c>
      <c r="L107">
        <v>16</v>
      </c>
      <c r="M107">
        <v>7.5</v>
      </c>
      <c r="N107">
        <v>4.5</v>
      </c>
      <c r="O107" s="19">
        <f t="shared" si="3"/>
        <v>1</v>
      </c>
    </row>
    <row r="108" spans="1:24" x14ac:dyDescent="0.25">
      <c r="A108" s="39"/>
      <c r="B108" s="41"/>
      <c r="C108" t="s">
        <v>1319</v>
      </c>
      <c r="D108" t="s">
        <v>181</v>
      </c>
      <c r="E108" s="3">
        <f t="shared" si="2"/>
        <v>4</v>
      </c>
      <c r="F108">
        <v>91.21</v>
      </c>
      <c r="G108">
        <v>4</v>
      </c>
      <c r="H108">
        <v>27.46</v>
      </c>
      <c r="I108">
        <v>18.96</v>
      </c>
      <c r="J108">
        <v>15.96</v>
      </c>
      <c r="K108">
        <v>4</v>
      </c>
      <c r="L108">
        <v>16</v>
      </c>
      <c r="M108">
        <v>7.5</v>
      </c>
      <c r="N108">
        <v>4.5</v>
      </c>
      <c r="O108" s="19">
        <f t="shared" si="3"/>
        <v>1</v>
      </c>
    </row>
    <row r="109" spans="1:24" x14ac:dyDescent="0.25">
      <c r="A109" s="39"/>
      <c r="B109" s="41"/>
      <c r="C109" t="s">
        <v>1320</v>
      </c>
      <c r="D109" t="s">
        <v>181</v>
      </c>
      <c r="E109" s="3">
        <f t="shared" si="2"/>
        <v>4</v>
      </c>
      <c r="F109">
        <v>91.21</v>
      </c>
      <c r="G109">
        <v>4</v>
      </c>
      <c r="H109">
        <v>27.46</v>
      </c>
      <c r="I109">
        <v>18.96</v>
      </c>
      <c r="J109">
        <v>15.96</v>
      </c>
      <c r="K109">
        <v>4</v>
      </c>
      <c r="L109">
        <v>15.49</v>
      </c>
      <c r="M109">
        <v>7</v>
      </c>
      <c r="N109">
        <v>4</v>
      </c>
      <c r="O109" s="19">
        <f t="shared" si="3"/>
        <v>1</v>
      </c>
    </row>
    <row r="110" spans="1:24" x14ac:dyDescent="0.25">
      <c r="A110" s="39"/>
      <c r="B110" s="41"/>
      <c r="C110" t="s">
        <v>1321</v>
      </c>
      <c r="D110" t="s">
        <v>181</v>
      </c>
      <c r="E110" s="3">
        <f t="shared" si="2"/>
        <v>4</v>
      </c>
      <c r="F110">
        <v>91.21</v>
      </c>
      <c r="G110">
        <v>4</v>
      </c>
      <c r="H110">
        <v>27.46</v>
      </c>
      <c r="I110">
        <v>18.96</v>
      </c>
      <c r="J110">
        <v>15.96</v>
      </c>
      <c r="K110">
        <v>4</v>
      </c>
      <c r="L110">
        <v>16</v>
      </c>
      <c r="M110">
        <v>7.5</v>
      </c>
      <c r="N110">
        <v>4.5</v>
      </c>
      <c r="O110" s="19">
        <f t="shared" si="3"/>
        <v>1</v>
      </c>
    </row>
    <row r="111" spans="1:24" x14ac:dyDescent="0.25">
      <c r="A111" s="39"/>
      <c r="B111" s="41"/>
      <c r="C111" t="s">
        <v>1322</v>
      </c>
      <c r="D111" t="s">
        <v>181</v>
      </c>
      <c r="E111" s="3">
        <f t="shared" si="2"/>
        <v>4</v>
      </c>
      <c r="F111">
        <v>91.21</v>
      </c>
      <c r="G111">
        <v>4</v>
      </c>
      <c r="H111">
        <v>27.46</v>
      </c>
      <c r="I111">
        <v>18.96</v>
      </c>
      <c r="J111">
        <v>15.96</v>
      </c>
      <c r="K111">
        <v>4</v>
      </c>
      <c r="L111">
        <v>16</v>
      </c>
      <c r="M111">
        <v>7.5</v>
      </c>
      <c r="N111">
        <v>4.5</v>
      </c>
      <c r="O111" s="19">
        <f t="shared" si="3"/>
        <v>1</v>
      </c>
    </row>
    <row r="112" spans="1:24" x14ac:dyDescent="0.25">
      <c r="A112" s="39"/>
      <c r="B112" s="41"/>
      <c r="C112" t="s">
        <v>1323</v>
      </c>
      <c r="D112" t="s">
        <v>181</v>
      </c>
      <c r="E112" s="3">
        <f t="shared" si="2"/>
        <v>4</v>
      </c>
      <c r="F112">
        <v>91.21</v>
      </c>
      <c r="G112">
        <v>4</v>
      </c>
      <c r="H112">
        <v>27.46</v>
      </c>
      <c r="I112">
        <v>18.96</v>
      </c>
      <c r="J112">
        <v>15.96</v>
      </c>
      <c r="K112">
        <v>4</v>
      </c>
      <c r="L112">
        <v>16</v>
      </c>
      <c r="M112">
        <v>7.5</v>
      </c>
      <c r="N112">
        <v>4.5</v>
      </c>
      <c r="O112" s="19">
        <f t="shared" si="3"/>
        <v>1</v>
      </c>
    </row>
    <row r="113" spans="1:15" x14ac:dyDescent="0.25">
      <c r="A113" s="39"/>
      <c r="B113" s="41"/>
      <c r="C113" t="s">
        <v>1324</v>
      </c>
      <c r="D113" t="s">
        <v>181</v>
      </c>
      <c r="E113" s="3">
        <f t="shared" si="2"/>
        <v>4</v>
      </c>
      <c r="F113">
        <v>91.21</v>
      </c>
      <c r="G113">
        <v>4</v>
      </c>
      <c r="H113">
        <v>27.46</v>
      </c>
      <c r="I113">
        <v>18.96</v>
      </c>
      <c r="J113">
        <v>15.96</v>
      </c>
      <c r="K113">
        <v>4</v>
      </c>
      <c r="L113">
        <v>16</v>
      </c>
      <c r="M113">
        <v>7.5</v>
      </c>
      <c r="N113">
        <v>4.5</v>
      </c>
      <c r="O113" s="19">
        <f t="shared" si="3"/>
        <v>1</v>
      </c>
    </row>
    <row r="114" spans="1:15" x14ac:dyDescent="0.25">
      <c r="A114" s="39"/>
      <c r="B114" s="41"/>
      <c r="C114" t="s">
        <v>1325</v>
      </c>
      <c r="D114" t="s">
        <v>181</v>
      </c>
      <c r="E114" s="3">
        <f t="shared" si="2"/>
        <v>4</v>
      </c>
      <c r="F114">
        <v>91.21</v>
      </c>
      <c r="G114">
        <v>4</v>
      </c>
      <c r="H114">
        <v>27.46</v>
      </c>
      <c r="I114">
        <v>18.96</v>
      </c>
      <c r="J114">
        <v>15.96</v>
      </c>
      <c r="K114">
        <v>4</v>
      </c>
      <c r="L114">
        <v>16</v>
      </c>
      <c r="M114">
        <v>7.5</v>
      </c>
      <c r="N114">
        <v>4.5</v>
      </c>
      <c r="O114" s="19">
        <f t="shared" si="3"/>
        <v>1</v>
      </c>
    </row>
    <row r="115" spans="1:15" x14ac:dyDescent="0.25">
      <c r="A115" s="39"/>
      <c r="B115" s="41"/>
      <c r="C115" t="s">
        <v>1326</v>
      </c>
      <c r="D115" t="s">
        <v>181</v>
      </c>
      <c r="E115" s="3">
        <f t="shared" si="2"/>
        <v>4</v>
      </c>
      <c r="F115">
        <v>91.21</v>
      </c>
      <c r="G115">
        <v>4</v>
      </c>
      <c r="H115">
        <v>27.46</v>
      </c>
      <c r="I115">
        <v>18.96</v>
      </c>
      <c r="J115">
        <v>15.96</v>
      </c>
      <c r="K115">
        <v>4</v>
      </c>
      <c r="L115">
        <v>16</v>
      </c>
      <c r="M115">
        <v>7.5</v>
      </c>
      <c r="N115">
        <v>4.5</v>
      </c>
      <c r="O115" s="19">
        <f t="shared" si="3"/>
        <v>1</v>
      </c>
    </row>
    <row r="116" spans="1:15" x14ac:dyDescent="0.25">
      <c r="A116" s="39"/>
      <c r="B116" s="41"/>
      <c r="C116" t="s">
        <v>1327</v>
      </c>
      <c r="D116" t="s">
        <v>181</v>
      </c>
      <c r="E116" s="3">
        <f t="shared" si="2"/>
        <v>4</v>
      </c>
      <c r="F116">
        <v>91.21</v>
      </c>
      <c r="G116">
        <v>4</v>
      </c>
      <c r="H116">
        <v>27.46</v>
      </c>
      <c r="I116">
        <v>18.96</v>
      </c>
      <c r="J116">
        <v>15.96</v>
      </c>
      <c r="K116">
        <v>4</v>
      </c>
      <c r="L116">
        <v>16</v>
      </c>
      <c r="M116">
        <v>7.5</v>
      </c>
      <c r="N116">
        <v>4.5</v>
      </c>
      <c r="O116" s="19">
        <f t="shared" si="3"/>
        <v>1</v>
      </c>
    </row>
    <row r="117" spans="1:15" x14ac:dyDescent="0.25">
      <c r="A117" s="39"/>
      <c r="B117" s="41"/>
      <c r="C117" t="s">
        <v>1328</v>
      </c>
      <c r="D117" t="s">
        <v>181</v>
      </c>
      <c r="E117" s="3">
        <f t="shared" si="2"/>
        <v>4</v>
      </c>
      <c r="F117">
        <v>91.21</v>
      </c>
      <c r="G117">
        <v>4</v>
      </c>
      <c r="H117">
        <v>27.46</v>
      </c>
      <c r="I117">
        <v>18.96</v>
      </c>
      <c r="J117">
        <v>15.96</v>
      </c>
      <c r="K117">
        <v>4</v>
      </c>
      <c r="L117">
        <v>16</v>
      </c>
      <c r="M117">
        <v>7.5</v>
      </c>
      <c r="N117">
        <v>4.5</v>
      </c>
      <c r="O117" s="19">
        <f t="shared" si="3"/>
        <v>1</v>
      </c>
    </row>
    <row r="118" spans="1:15" x14ac:dyDescent="0.25">
      <c r="A118" s="39"/>
      <c r="B118" s="41"/>
      <c r="C118" t="s">
        <v>1329</v>
      </c>
      <c r="D118" t="s">
        <v>181</v>
      </c>
      <c r="E118" s="3">
        <f t="shared" si="2"/>
        <v>4</v>
      </c>
      <c r="F118">
        <v>91.21</v>
      </c>
      <c r="G118">
        <v>4</v>
      </c>
      <c r="H118">
        <v>27.46</v>
      </c>
      <c r="I118">
        <v>18.96</v>
      </c>
      <c r="J118">
        <v>15.96</v>
      </c>
      <c r="K118">
        <v>4</v>
      </c>
      <c r="L118">
        <v>16</v>
      </c>
      <c r="M118">
        <v>7.5</v>
      </c>
      <c r="N118">
        <v>4.5</v>
      </c>
      <c r="O118" s="19">
        <f t="shared" si="3"/>
        <v>1</v>
      </c>
    </row>
    <row r="119" spans="1:15" x14ac:dyDescent="0.25">
      <c r="A119" s="39"/>
      <c r="B119" s="41"/>
      <c r="C119" t="s">
        <v>1330</v>
      </c>
      <c r="D119" t="s">
        <v>181</v>
      </c>
      <c r="E119" s="3">
        <f t="shared" si="2"/>
        <v>4</v>
      </c>
      <c r="F119">
        <v>91.21</v>
      </c>
      <c r="G119">
        <v>4</v>
      </c>
      <c r="H119">
        <v>27.46</v>
      </c>
      <c r="I119">
        <v>18.96</v>
      </c>
      <c r="J119">
        <v>15.96</v>
      </c>
      <c r="K119">
        <v>4</v>
      </c>
      <c r="L119">
        <v>16</v>
      </c>
      <c r="M119">
        <v>7.5</v>
      </c>
      <c r="N119">
        <v>4.5</v>
      </c>
      <c r="O119" s="19">
        <f t="shared" si="3"/>
        <v>1</v>
      </c>
    </row>
    <row r="120" spans="1:15" x14ac:dyDescent="0.25">
      <c r="A120" s="39"/>
      <c r="B120" s="41"/>
      <c r="C120" t="s">
        <v>1331</v>
      </c>
      <c r="D120" t="s">
        <v>181</v>
      </c>
      <c r="E120" s="3">
        <f t="shared" si="2"/>
        <v>4</v>
      </c>
      <c r="F120">
        <v>91.21</v>
      </c>
      <c r="G120">
        <v>4</v>
      </c>
      <c r="H120">
        <v>27.46</v>
      </c>
      <c r="I120">
        <v>18.96</v>
      </c>
      <c r="J120">
        <v>15.96</v>
      </c>
      <c r="K120">
        <v>4</v>
      </c>
      <c r="L120">
        <v>16</v>
      </c>
      <c r="M120">
        <v>7.5</v>
      </c>
      <c r="N120">
        <v>4.5</v>
      </c>
      <c r="O120" s="19">
        <f t="shared" si="3"/>
        <v>1</v>
      </c>
    </row>
    <row r="121" spans="1:15" x14ac:dyDescent="0.25">
      <c r="A121" s="39"/>
      <c r="B121" s="42"/>
      <c r="C121" s="10" t="s">
        <v>1332</v>
      </c>
      <c r="D121" s="10" t="s">
        <v>181</v>
      </c>
      <c r="E121" s="11">
        <f t="shared" si="2"/>
        <v>4</v>
      </c>
      <c r="F121" s="10">
        <v>91.21</v>
      </c>
      <c r="G121" s="10">
        <v>4</v>
      </c>
      <c r="H121" s="10">
        <v>27.46</v>
      </c>
      <c r="I121" s="10">
        <v>18.96</v>
      </c>
      <c r="J121" s="10">
        <v>15.96</v>
      </c>
      <c r="K121" s="10">
        <v>4</v>
      </c>
      <c r="L121" s="10">
        <v>16</v>
      </c>
      <c r="M121" s="10">
        <v>7.5</v>
      </c>
      <c r="N121" s="10">
        <v>4.5</v>
      </c>
      <c r="O121" s="20">
        <f t="shared" si="3"/>
        <v>1</v>
      </c>
    </row>
    <row r="122" spans="1:15" x14ac:dyDescent="0.25">
      <c r="A122" s="39" t="s">
        <v>2</v>
      </c>
      <c r="B122" s="40" t="s">
        <v>4</v>
      </c>
      <c r="C122" s="7" t="s">
        <v>1333</v>
      </c>
      <c r="D122" s="7" t="s">
        <v>271</v>
      </c>
      <c r="E122" s="8">
        <f t="shared" si="2"/>
        <v>2</v>
      </c>
      <c r="F122" s="7">
        <v>47.63</v>
      </c>
      <c r="G122" s="7">
        <v>4</v>
      </c>
      <c r="H122" s="7">
        <v>14.34</v>
      </c>
      <c r="I122" s="7">
        <v>5.84</v>
      </c>
      <c r="J122" s="7">
        <v>2.84</v>
      </c>
      <c r="K122" s="7">
        <v>2</v>
      </c>
      <c r="L122" s="7">
        <v>7.64</v>
      </c>
      <c r="M122" s="7">
        <v>-0.86</v>
      </c>
      <c r="N122" s="7">
        <v>-3.86</v>
      </c>
      <c r="O122" s="18">
        <f t="shared" si="3"/>
        <v>1</v>
      </c>
    </row>
    <row r="123" spans="1:15" x14ac:dyDescent="0.25">
      <c r="A123" s="39"/>
      <c r="B123" s="41"/>
      <c r="C123" t="s">
        <v>1334</v>
      </c>
      <c r="D123" t="s">
        <v>271</v>
      </c>
      <c r="E123" s="3">
        <f t="shared" si="2"/>
        <v>2</v>
      </c>
      <c r="F123">
        <v>47.63</v>
      </c>
      <c r="G123">
        <v>4</v>
      </c>
      <c r="H123">
        <v>14.34</v>
      </c>
      <c r="I123">
        <v>5.84</v>
      </c>
      <c r="J123">
        <v>2.84</v>
      </c>
      <c r="K123">
        <v>2</v>
      </c>
      <c r="L123">
        <v>8</v>
      </c>
      <c r="M123">
        <v>-0.5</v>
      </c>
      <c r="N123">
        <v>-3.5</v>
      </c>
      <c r="O123" s="19">
        <f t="shared" si="3"/>
        <v>1</v>
      </c>
    </row>
    <row r="124" spans="1:15" x14ac:dyDescent="0.25">
      <c r="A124" s="39"/>
      <c r="B124" s="41"/>
      <c r="C124" t="s">
        <v>1335</v>
      </c>
      <c r="D124" t="s">
        <v>271</v>
      </c>
      <c r="E124" s="3">
        <f t="shared" si="2"/>
        <v>2</v>
      </c>
      <c r="F124">
        <v>47.63</v>
      </c>
      <c r="G124">
        <v>4</v>
      </c>
      <c r="H124">
        <v>14.34</v>
      </c>
      <c r="I124">
        <v>5.84</v>
      </c>
      <c r="J124">
        <v>2.84</v>
      </c>
      <c r="K124">
        <v>2</v>
      </c>
      <c r="L124">
        <v>8</v>
      </c>
      <c r="M124">
        <v>-0.5</v>
      </c>
      <c r="N124">
        <v>-3.5</v>
      </c>
      <c r="O124" s="19">
        <f t="shared" si="3"/>
        <v>1</v>
      </c>
    </row>
    <row r="125" spans="1:15" x14ac:dyDescent="0.25">
      <c r="A125" s="39"/>
      <c r="B125" s="41"/>
      <c r="C125" t="s">
        <v>1336</v>
      </c>
      <c r="D125" t="s">
        <v>1337</v>
      </c>
      <c r="E125" s="3">
        <f t="shared" si="2"/>
        <v>1</v>
      </c>
      <c r="F125">
        <v>47.63</v>
      </c>
      <c r="G125">
        <v>4</v>
      </c>
      <c r="H125">
        <v>14.34</v>
      </c>
      <c r="I125">
        <v>5.84</v>
      </c>
      <c r="J125">
        <v>2.84</v>
      </c>
      <c r="K125">
        <v>2</v>
      </c>
      <c r="L125">
        <v>7.49</v>
      </c>
      <c r="M125">
        <v>-1</v>
      </c>
      <c r="N125">
        <v>-4</v>
      </c>
      <c r="O125" s="19">
        <f t="shared" si="3"/>
        <v>0.5</v>
      </c>
    </row>
    <row r="126" spans="1:15" x14ac:dyDescent="0.25">
      <c r="A126" s="39"/>
      <c r="B126" s="41"/>
      <c r="C126" t="s">
        <v>1338</v>
      </c>
      <c r="D126" t="s">
        <v>271</v>
      </c>
      <c r="E126" s="3">
        <f t="shared" si="2"/>
        <v>2</v>
      </c>
      <c r="F126">
        <v>47.63</v>
      </c>
      <c r="G126">
        <v>4</v>
      </c>
      <c r="H126">
        <v>14.34</v>
      </c>
      <c r="I126">
        <v>5.84</v>
      </c>
      <c r="J126">
        <v>2.84</v>
      </c>
      <c r="K126">
        <v>2</v>
      </c>
      <c r="L126">
        <v>8</v>
      </c>
      <c r="M126">
        <v>-0.5</v>
      </c>
      <c r="N126">
        <v>-3.5</v>
      </c>
      <c r="O126" s="19">
        <f t="shared" si="3"/>
        <v>1</v>
      </c>
    </row>
    <row r="127" spans="1:15" x14ac:dyDescent="0.25">
      <c r="A127" s="39"/>
      <c r="B127" s="41"/>
      <c r="C127" t="s">
        <v>1339</v>
      </c>
      <c r="D127" t="s">
        <v>271</v>
      </c>
      <c r="E127" s="3">
        <f t="shared" si="2"/>
        <v>2</v>
      </c>
      <c r="F127">
        <v>45.6</v>
      </c>
      <c r="G127">
        <v>4</v>
      </c>
      <c r="H127">
        <v>13.73</v>
      </c>
      <c r="I127">
        <v>5.23</v>
      </c>
      <c r="J127">
        <v>2.23</v>
      </c>
      <c r="K127">
        <v>2</v>
      </c>
      <c r="L127">
        <v>8</v>
      </c>
      <c r="M127">
        <v>-0.5</v>
      </c>
      <c r="N127">
        <v>-3.5</v>
      </c>
      <c r="O127" s="19">
        <f t="shared" si="3"/>
        <v>1</v>
      </c>
    </row>
    <row r="128" spans="1:15" x14ac:dyDescent="0.25">
      <c r="A128" s="39"/>
      <c r="B128" s="41"/>
      <c r="C128" t="s">
        <v>1340</v>
      </c>
      <c r="D128" t="s">
        <v>271</v>
      </c>
      <c r="E128" s="3">
        <f t="shared" si="2"/>
        <v>2</v>
      </c>
      <c r="F128">
        <v>47.63</v>
      </c>
      <c r="G128">
        <v>4</v>
      </c>
      <c r="H128">
        <v>14.34</v>
      </c>
      <c r="I128">
        <v>5.84</v>
      </c>
      <c r="J128">
        <v>2.84</v>
      </c>
      <c r="K128">
        <v>2</v>
      </c>
      <c r="L128">
        <v>8</v>
      </c>
      <c r="M128">
        <v>-0.5</v>
      </c>
      <c r="N128">
        <v>-3.5</v>
      </c>
      <c r="O128" s="19">
        <f t="shared" si="3"/>
        <v>1</v>
      </c>
    </row>
    <row r="129" spans="1:15" x14ac:dyDescent="0.25">
      <c r="A129" s="39"/>
      <c r="B129" s="41"/>
      <c r="C129" t="s">
        <v>1341</v>
      </c>
      <c r="D129" t="s">
        <v>271</v>
      </c>
      <c r="E129" s="3">
        <f t="shared" si="2"/>
        <v>2</v>
      </c>
      <c r="F129">
        <v>47.63</v>
      </c>
      <c r="G129">
        <v>4</v>
      </c>
      <c r="H129">
        <v>14.34</v>
      </c>
      <c r="I129">
        <v>5.84</v>
      </c>
      <c r="J129">
        <v>2.84</v>
      </c>
      <c r="K129">
        <v>2</v>
      </c>
      <c r="L129">
        <v>8</v>
      </c>
      <c r="M129">
        <v>-0.5</v>
      </c>
      <c r="N129">
        <v>-3.5</v>
      </c>
      <c r="O129" s="19">
        <f t="shared" si="3"/>
        <v>1</v>
      </c>
    </row>
    <row r="130" spans="1:15" x14ac:dyDescent="0.25">
      <c r="A130" s="39"/>
      <c r="B130" s="41"/>
      <c r="C130" t="s">
        <v>1342</v>
      </c>
      <c r="D130" t="s">
        <v>271</v>
      </c>
      <c r="E130" s="3">
        <f t="shared" ref="E130:E193" si="4">IF(D130="Muito Fraca", 1, IF(D130="Fraca", 2, IF(D130="Boa", 3, 4)))</f>
        <v>2</v>
      </c>
      <c r="F130">
        <v>47.63</v>
      </c>
      <c r="G130">
        <v>4</v>
      </c>
      <c r="H130">
        <v>14.34</v>
      </c>
      <c r="I130">
        <v>5.84</v>
      </c>
      <c r="J130">
        <v>2.84</v>
      </c>
      <c r="K130">
        <v>2</v>
      </c>
      <c r="L130">
        <v>8</v>
      </c>
      <c r="M130">
        <v>-0.5</v>
      </c>
      <c r="N130">
        <v>-3.5</v>
      </c>
      <c r="O130" s="19">
        <f t="shared" si="3"/>
        <v>1</v>
      </c>
    </row>
    <row r="131" spans="1:15" x14ac:dyDescent="0.25">
      <c r="A131" s="39"/>
      <c r="B131" s="41"/>
      <c r="C131" t="s">
        <v>1343</v>
      </c>
      <c r="D131" t="s">
        <v>271</v>
      </c>
      <c r="E131" s="3">
        <f t="shared" si="4"/>
        <v>2</v>
      </c>
      <c r="F131">
        <v>45.6</v>
      </c>
      <c r="G131">
        <v>4</v>
      </c>
      <c r="H131">
        <v>13.73</v>
      </c>
      <c r="I131">
        <v>5.23</v>
      </c>
      <c r="J131">
        <v>2.23</v>
      </c>
      <c r="K131">
        <v>2</v>
      </c>
      <c r="L131">
        <v>8</v>
      </c>
      <c r="M131">
        <v>-0.5</v>
      </c>
      <c r="N131">
        <v>-3.5</v>
      </c>
      <c r="O131" s="19">
        <f t="shared" ref="O131:O194" si="5">E131/K131</f>
        <v>1</v>
      </c>
    </row>
    <row r="132" spans="1:15" x14ac:dyDescent="0.25">
      <c r="A132" s="39"/>
      <c r="B132" s="41"/>
      <c r="C132" t="s">
        <v>1344</v>
      </c>
      <c r="D132" t="s">
        <v>271</v>
      </c>
      <c r="E132" s="3">
        <f t="shared" si="4"/>
        <v>2</v>
      </c>
      <c r="F132">
        <v>45.6</v>
      </c>
      <c r="G132">
        <v>4</v>
      </c>
      <c r="H132">
        <v>13.73</v>
      </c>
      <c r="I132">
        <v>5.23</v>
      </c>
      <c r="J132">
        <v>2.23</v>
      </c>
      <c r="K132">
        <v>2</v>
      </c>
      <c r="L132">
        <v>8</v>
      </c>
      <c r="M132">
        <v>-0.5</v>
      </c>
      <c r="N132">
        <v>-3.5</v>
      </c>
      <c r="O132" s="19">
        <f t="shared" si="5"/>
        <v>1</v>
      </c>
    </row>
    <row r="133" spans="1:15" x14ac:dyDescent="0.25">
      <c r="A133" s="39"/>
      <c r="B133" s="41"/>
      <c r="C133" t="s">
        <v>1345</v>
      </c>
      <c r="D133" t="s">
        <v>271</v>
      </c>
      <c r="E133" s="3">
        <f t="shared" si="4"/>
        <v>2</v>
      </c>
      <c r="F133">
        <v>51.14</v>
      </c>
      <c r="G133">
        <v>4</v>
      </c>
      <c r="H133">
        <v>15.39</v>
      </c>
      <c r="I133">
        <v>6.9</v>
      </c>
      <c r="J133">
        <v>3.9</v>
      </c>
      <c r="K133">
        <v>2</v>
      </c>
      <c r="L133">
        <v>8</v>
      </c>
      <c r="M133">
        <v>-0.5</v>
      </c>
      <c r="N133">
        <v>-3.5</v>
      </c>
      <c r="O133" s="19">
        <f t="shared" si="5"/>
        <v>1</v>
      </c>
    </row>
    <row r="134" spans="1:15" x14ac:dyDescent="0.25">
      <c r="A134" s="39"/>
      <c r="B134" s="41"/>
      <c r="C134" t="s">
        <v>1346</v>
      </c>
      <c r="D134" t="s">
        <v>271</v>
      </c>
      <c r="E134" s="3">
        <f t="shared" si="4"/>
        <v>2</v>
      </c>
      <c r="F134">
        <v>51.14</v>
      </c>
      <c r="G134">
        <v>4</v>
      </c>
      <c r="H134">
        <v>15.39</v>
      </c>
      <c r="I134">
        <v>6.9</v>
      </c>
      <c r="J134">
        <v>3.9</v>
      </c>
      <c r="K134">
        <v>2</v>
      </c>
      <c r="L134">
        <v>8</v>
      </c>
      <c r="M134">
        <v>-0.5</v>
      </c>
      <c r="N134">
        <v>-3.5</v>
      </c>
      <c r="O134" s="19">
        <f t="shared" si="5"/>
        <v>1</v>
      </c>
    </row>
    <row r="135" spans="1:15" x14ac:dyDescent="0.25">
      <c r="A135" s="39"/>
      <c r="B135" s="41"/>
      <c r="C135" t="s">
        <v>1347</v>
      </c>
      <c r="D135" t="s">
        <v>271</v>
      </c>
      <c r="E135" s="3">
        <f t="shared" si="4"/>
        <v>2</v>
      </c>
      <c r="F135">
        <v>51.14</v>
      </c>
      <c r="G135">
        <v>4</v>
      </c>
      <c r="H135">
        <v>15.39</v>
      </c>
      <c r="I135">
        <v>6.9</v>
      </c>
      <c r="J135">
        <v>3.9</v>
      </c>
      <c r="K135">
        <v>2</v>
      </c>
      <c r="L135">
        <v>8</v>
      </c>
      <c r="M135">
        <v>-0.5</v>
      </c>
      <c r="N135">
        <v>-3.5</v>
      </c>
      <c r="O135" s="19">
        <f t="shared" si="5"/>
        <v>1</v>
      </c>
    </row>
    <row r="136" spans="1:15" x14ac:dyDescent="0.25">
      <c r="A136" s="39"/>
      <c r="B136" s="41"/>
      <c r="C136" t="s">
        <v>1348</v>
      </c>
      <c r="D136" t="s">
        <v>271</v>
      </c>
      <c r="E136" s="3">
        <f t="shared" si="4"/>
        <v>2</v>
      </c>
      <c r="F136">
        <v>51.14</v>
      </c>
      <c r="G136">
        <v>4</v>
      </c>
      <c r="H136">
        <v>15.39</v>
      </c>
      <c r="I136">
        <v>6.9</v>
      </c>
      <c r="J136">
        <v>3.9</v>
      </c>
      <c r="K136">
        <v>2</v>
      </c>
      <c r="L136">
        <v>8</v>
      </c>
      <c r="M136">
        <v>-0.5</v>
      </c>
      <c r="N136">
        <v>-3.5</v>
      </c>
      <c r="O136" s="19">
        <f t="shared" si="5"/>
        <v>1</v>
      </c>
    </row>
    <row r="137" spans="1:15" x14ac:dyDescent="0.25">
      <c r="A137" s="39"/>
      <c r="B137" s="41"/>
      <c r="C137" t="s">
        <v>1349</v>
      </c>
      <c r="D137" t="s">
        <v>1337</v>
      </c>
      <c r="E137" s="3">
        <f t="shared" si="4"/>
        <v>1</v>
      </c>
      <c r="F137">
        <v>45.6</v>
      </c>
      <c r="G137">
        <v>4</v>
      </c>
      <c r="H137">
        <v>13.73</v>
      </c>
      <c r="I137">
        <v>5.23</v>
      </c>
      <c r="J137">
        <v>2.23</v>
      </c>
      <c r="K137">
        <v>2</v>
      </c>
      <c r="L137">
        <v>7</v>
      </c>
      <c r="M137">
        <v>-1.5</v>
      </c>
      <c r="N137">
        <v>-4.5</v>
      </c>
      <c r="O137" s="19">
        <f t="shared" si="5"/>
        <v>0.5</v>
      </c>
    </row>
    <row r="138" spans="1:15" x14ac:dyDescent="0.25">
      <c r="A138" s="39"/>
      <c r="B138" s="41"/>
      <c r="C138" t="s">
        <v>1350</v>
      </c>
      <c r="D138" t="s">
        <v>271</v>
      </c>
      <c r="E138" s="3">
        <f t="shared" si="4"/>
        <v>2</v>
      </c>
      <c r="F138">
        <v>51.14</v>
      </c>
      <c r="G138">
        <v>4</v>
      </c>
      <c r="H138">
        <v>15.39</v>
      </c>
      <c r="I138">
        <v>6.9</v>
      </c>
      <c r="J138">
        <v>3.9</v>
      </c>
      <c r="K138">
        <v>2</v>
      </c>
      <c r="L138">
        <v>8</v>
      </c>
      <c r="M138">
        <v>-0.5</v>
      </c>
      <c r="N138">
        <v>-3.5</v>
      </c>
      <c r="O138" s="19">
        <f t="shared" si="5"/>
        <v>1</v>
      </c>
    </row>
    <row r="139" spans="1:15" x14ac:dyDescent="0.25">
      <c r="A139" s="39"/>
      <c r="B139" s="41"/>
      <c r="C139" t="s">
        <v>1351</v>
      </c>
      <c r="D139" t="s">
        <v>271</v>
      </c>
      <c r="E139" s="3">
        <f t="shared" si="4"/>
        <v>2</v>
      </c>
      <c r="F139">
        <v>51.14</v>
      </c>
      <c r="G139">
        <v>4</v>
      </c>
      <c r="H139">
        <v>15.39</v>
      </c>
      <c r="I139">
        <v>6.9</v>
      </c>
      <c r="J139">
        <v>3.9</v>
      </c>
      <c r="K139">
        <v>2</v>
      </c>
      <c r="L139">
        <v>8</v>
      </c>
      <c r="M139">
        <v>-0.5</v>
      </c>
      <c r="N139">
        <v>-3.5</v>
      </c>
      <c r="O139" s="19">
        <f t="shared" si="5"/>
        <v>1</v>
      </c>
    </row>
    <row r="140" spans="1:15" x14ac:dyDescent="0.25">
      <c r="A140" s="39"/>
      <c r="B140" s="41"/>
      <c r="C140" t="s">
        <v>1352</v>
      </c>
      <c r="D140" t="s">
        <v>271</v>
      </c>
      <c r="E140" s="3">
        <f t="shared" si="4"/>
        <v>2</v>
      </c>
      <c r="F140">
        <v>51.14</v>
      </c>
      <c r="G140">
        <v>4</v>
      </c>
      <c r="H140">
        <v>15.39</v>
      </c>
      <c r="I140">
        <v>6.9</v>
      </c>
      <c r="J140">
        <v>3.9</v>
      </c>
      <c r="K140">
        <v>2</v>
      </c>
      <c r="L140">
        <v>8</v>
      </c>
      <c r="M140">
        <v>-0.5</v>
      </c>
      <c r="N140">
        <v>-3.5</v>
      </c>
      <c r="O140" s="19">
        <f t="shared" si="5"/>
        <v>1</v>
      </c>
    </row>
    <row r="141" spans="1:15" x14ac:dyDescent="0.25">
      <c r="A141" s="39"/>
      <c r="B141" s="42"/>
      <c r="C141" s="10" t="s">
        <v>1353</v>
      </c>
      <c r="D141" s="10" t="s">
        <v>271</v>
      </c>
      <c r="E141" s="11">
        <f t="shared" si="4"/>
        <v>2</v>
      </c>
      <c r="F141" s="10">
        <v>51.14</v>
      </c>
      <c r="G141" s="10">
        <v>4</v>
      </c>
      <c r="H141" s="10">
        <v>15.39</v>
      </c>
      <c r="I141" s="10">
        <v>6.9</v>
      </c>
      <c r="J141" s="10">
        <v>3.9</v>
      </c>
      <c r="K141" s="10">
        <v>2</v>
      </c>
      <c r="L141" s="10">
        <v>8</v>
      </c>
      <c r="M141" s="10">
        <v>-0.5</v>
      </c>
      <c r="N141" s="10">
        <v>-3.5</v>
      </c>
      <c r="O141" s="20">
        <f t="shared" si="5"/>
        <v>1</v>
      </c>
    </row>
    <row r="142" spans="1:15" x14ac:dyDescent="0.25">
      <c r="A142" s="39"/>
      <c r="B142" s="40" t="s">
        <v>6</v>
      </c>
      <c r="C142" s="7" t="s">
        <v>1354</v>
      </c>
      <c r="D142" s="7" t="s">
        <v>1232</v>
      </c>
      <c r="E142" s="8">
        <f t="shared" si="4"/>
        <v>3</v>
      </c>
      <c r="F142" s="7">
        <v>76.709999999999994</v>
      </c>
      <c r="G142" s="7">
        <v>4</v>
      </c>
      <c r="H142" s="7">
        <v>23.09</v>
      </c>
      <c r="I142" s="7">
        <v>14.59</v>
      </c>
      <c r="J142" s="7">
        <v>11.59</v>
      </c>
      <c r="K142" s="7">
        <v>4</v>
      </c>
      <c r="L142" s="7">
        <v>12</v>
      </c>
      <c r="M142" s="7">
        <v>3.5</v>
      </c>
      <c r="N142" s="7">
        <v>0.5</v>
      </c>
      <c r="O142" s="18">
        <f t="shared" si="5"/>
        <v>0.75</v>
      </c>
    </row>
    <row r="143" spans="1:15" x14ac:dyDescent="0.25">
      <c r="A143" s="39"/>
      <c r="B143" s="41"/>
      <c r="C143" t="s">
        <v>1355</v>
      </c>
      <c r="D143" t="s">
        <v>1232</v>
      </c>
      <c r="E143" s="3">
        <f t="shared" si="4"/>
        <v>3</v>
      </c>
      <c r="F143">
        <v>76.709999999999994</v>
      </c>
      <c r="G143">
        <v>4</v>
      </c>
      <c r="H143">
        <v>23.09</v>
      </c>
      <c r="I143">
        <v>14.59</v>
      </c>
      <c r="J143">
        <v>11.59</v>
      </c>
      <c r="K143">
        <v>4</v>
      </c>
      <c r="L143">
        <v>12</v>
      </c>
      <c r="M143">
        <v>3.5</v>
      </c>
      <c r="N143">
        <v>0.5</v>
      </c>
      <c r="O143" s="19">
        <f t="shared" si="5"/>
        <v>0.75</v>
      </c>
    </row>
    <row r="144" spans="1:15" x14ac:dyDescent="0.25">
      <c r="A144" s="39"/>
      <c r="B144" s="41"/>
      <c r="C144" t="s">
        <v>1356</v>
      </c>
      <c r="D144" t="s">
        <v>1232</v>
      </c>
      <c r="E144" s="3">
        <f t="shared" si="4"/>
        <v>3</v>
      </c>
      <c r="F144">
        <v>76.709999999999994</v>
      </c>
      <c r="G144">
        <v>4</v>
      </c>
      <c r="H144">
        <v>23.09</v>
      </c>
      <c r="I144">
        <v>14.59</v>
      </c>
      <c r="J144">
        <v>11.59</v>
      </c>
      <c r="K144">
        <v>4</v>
      </c>
      <c r="L144">
        <v>12</v>
      </c>
      <c r="M144">
        <v>3.5</v>
      </c>
      <c r="N144">
        <v>0.5</v>
      </c>
      <c r="O144" s="19">
        <f t="shared" si="5"/>
        <v>0.75</v>
      </c>
    </row>
    <row r="145" spans="1:15" x14ac:dyDescent="0.25">
      <c r="A145" s="39"/>
      <c r="B145" s="41"/>
      <c r="C145" t="s">
        <v>1357</v>
      </c>
      <c r="D145" t="s">
        <v>1232</v>
      </c>
      <c r="E145" s="3">
        <f t="shared" si="4"/>
        <v>3</v>
      </c>
      <c r="F145">
        <v>76.709999999999994</v>
      </c>
      <c r="G145">
        <v>4</v>
      </c>
      <c r="H145">
        <v>23.09</v>
      </c>
      <c r="I145">
        <v>14.59</v>
      </c>
      <c r="J145">
        <v>11.59</v>
      </c>
      <c r="K145">
        <v>4</v>
      </c>
      <c r="L145">
        <v>12</v>
      </c>
      <c r="M145">
        <v>3.5</v>
      </c>
      <c r="N145">
        <v>0.5</v>
      </c>
      <c r="O145" s="19">
        <f t="shared" si="5"/>
        <v>0.75</v>
      </c>
    </row>
    <row r="146" spans="1:15" x14ac:dyDescent="0.25">
      <c r="A146" s="39"/>
      <c r="B146" s="41"/>
      <c r="C146" t="s">
        <v>1358</v>
      </c>
      <c r="D146" t="s">
        <v>1232</v>
      </c>
      <c r="E146" s="3">
        <f t="shared" si="4"/>
        <v>3</v>
      </c>
      <c r="F146">
        <v>68.41</v>
      </c>
      <c r="G146">
        <v>4</v>
      </c>
      <c r="H146">
        <v>20.59</v>
      </c>
      <c r="I146">
        <v>12.09</v>
      </c>
      <c r="J146">
        <v>9.09</v>
      </c>
      <c r="K146">
        <v>4</v>
      </c>
      <c r="L146">
        <v>12</v>
      </c>
      <c r="M146">
        <v>3.5</v>
      </c>
      <c r="N146">
        <v>0.5</v>
      </c>
      <c r="O146" s="19">
        <f t="shared" si="5"/>
        <v>0.75</v>
      </c>
    </row>
    <row r="147" spans="1:15" x14ac:dyDescent="0.25">
      <c r="A147" s="39"/>
      <c r="B147" s="41"/>
      <c r="C147" t="s">
        <v>1359</v>
      </c>
      <c r="D147" t="s">
        <v>1232</v>
      </c>
      <c r="E147" s="3">
        <f t="shared" si="4"/>
        <v>3</v>
      </c>
      <c r="F147">
        <v>76.709999999999994</v>
      </c>
      <c r="G147">
        <v>4</v>
      </c>
      <c r="H147">
        <v>23.09</v>
      </c>
      <c r="I147">
        <v>14.59</v>
      </c>
      <c r="J147">
        <v>11.59</v>
      </c>
      <c r="K147">
        <v>4</v>
      </c>
      <c r="L147">
        <v>12</v>
      </c>
      <c r="M147">
        <v>3.5</v>
      </c>
      <c r="N147">
        <v>0.5</v>
      </c>
      <c r="O147" s="19">
        <f t="shared" si="5"/>
        <v>0.75</v>
      </c>
    </row>
    <row r="148" spans="1:15" x14ac:dyDescent="0.25">
      <c r="A148" s="39"/>
      <c r="B148" s="41"/>
      <c r="C148" t="s">
        <v>1360</v>
      </c>
      <c r="D148" t="s">
        <v>1232</v>
      </c>
      <c r="E148" s="3">
        <f t="shared" si="4"/>
        <v>3</v>
      </c>
      <c r="F148">
        <v>76.709999999999994</v>
      </c>
      <c r="G148">
        <v>4</v>
      </c>
      <c r="H148">
        <v>23.09</v>
      </c>
      <c r="I148">
        <v>14.59</v>
      </c>
      <c r="J148">
        <v>11.59</v>
      </c>
      <c r="K148">
        <v>4</v>
      </c>
      <c r="L148">
        <v>12</v>
      </c>
      <c r="M148">
        <v>3.5</v>
      </c>
      <c r="N148">
        <v>0.5</v>
      </c>
      <c r="O148" s="19">
        <f t="shared" si="5"/>
        <v>0.75</v>
      </c>
    </row>
    <row r="149" spans="1:15" x14ac:dyDescent="0.25">
      <c r="A149" s="39"/>
      <c r="B149" s="41"/>
      <c r="C149" t="s">
        <v>1361</v>
      </c>
      <c r="D149" t="s">
        <v>1232</v>
      </c>
      <c r="E149" s="3">
        <f t="shared" si="4"/>
        <v>3</v>
      </c>
      <c r="F149">
        <v>76.709999999999994</v>
      </c>
      <c r="G149">
        <v>4</v>
      </c>
      <c r="H149">
        <v>23.09</v>
      </c>
      <c r="I149">
        <v>14.59</v>
      </c>
      <c r="J149">
        <v>11.59</v>
      </c>
      <c r="K149">
        <v>4</v>
      </c>
      <c r="L149">
        <v>12</v>
      </c>
      <c r="M149">
        <v>3.5</v>
      </c>
      <c r="N149">
        <v>0.5</v>
      </c>
      <c r="O149" s="19">
        <f t="shared" si="5"/>
        <v>0.75</v>
      </c>
    </row>
    <row r="150" spans="1:15" x14ac:dyDescent="0.25">
      <c r="A150" s="39"/>
      <c r="B150" s="41"/>
      <c r="C150" t="s">
        <v>1362</v>
      </c>
      <c r="D150" t="s">
        <v>1232</v>
      </c>
      <c r="E150" s="3">
        <f t="shared" si="4"/>
        <v>3</v>
      </c>
      <c r="F150">
        <v>68.41</v>
      </c>
      <c r="G150">
        <v>4</v>
      </c>
      <c r="H150">
        <v>20.59</v>
      </c>
      <c r="I150">
        <v>12.09</v>
      </c>
      <c r="J150">
        <v>9.09</v>
      </c>
      <c r="K150">
        <v>4</v>
      </c>
      <c r="L150">
        <v>11.71</v>
      </c>
      <c r="M150">
        <v>3.21</v>
      </c>
      <c r="N150">
        <v>0.21</v>
      </c>
      <c r="O150" s="19">
        <f t="shared" si="5"/>
        <v>0.75</v>
      </c>
    </row>
    <row r="151" spans="1:15" x14ac:dyDescent="0.25">
      <c r="A151" s="39"/>
      <c r="B151" s="41"/>
      <c r="C151" t="s">
        <v>1363</v>
      </c>
      <c r="D151" t="s">
        <v>1232</v>
      </c>
      <c r="E151" s="3">
        <f t="shared" si="4"/>
        <v>3</v>
      </c>
      <c r="F151">
        <v>76.709999999999994</v>
      </c>
      <c r="G151">
        <v>4</v>
      </c>
      <c r="H151">
        <v>23.09</v>
      </c>
      <c r="I151">
        <v>14.59</v>
      </c>
      <c r="J151">
        <v>11.59</v>
      </c>
      <c r="K151">
        <v>4</v>
      </c>
      <c r="L151">
        <v>12</v>
      </c>
      <c r="M151">
        <v>3.5</v>
      </c>
      <c r="N151">
        <v>0.5</v>
      </c>
      <c r="O151" s="19">
        <f t="shared" si="5"/>
        <v>0.75</v>
      </c>
    </row>
    <row r="152" spans="1:15" x14ac:dyDescent="0.25">
      <c r="A152" s="39"/>
      <c r="B152" s="41"/>
      <c r="C152" t="s">
        <v>1364</v>
      </c>
      <c r="D152" t="s">
        <v>1232</v>
      </c>
      <c r="E152" s="3">
        <f t="shared" si="4"/>
        <v>3</v>
      </c>
      <c r="F152">
        <v>71.45</v>
      </c>
      <c r="G152">
        <v>4</v>
      </c>
      <c r="H152">
        <v>21.51</v>
      </c>
      <c r="I152">
        <v>13.01</v>
      </c>
      <c r="J152">
        <v>10.01</v>
      </c>
      <c r="K152">
        <v>4</v>
      </c>
      <c r="L152">
        <v>12</v>
      </c>
      <c r="M152">
        <v>3.5</v>
      </c>
      <c r="N152">
        <v>0.5</v>
      </c>
      <c r="O152" s="19">
        <f t="shared" si="5"/>
        <v>0.75</v>
      </c>
    </row>
    <row r="153" spans="1:15" x14ac:dyDescent="0.25">
      <c r="A153" s="39"/>
      <c r="B153" s="41"/>
      <c r="C153" t="s">
        <v>1365</v>
      </c>
      <c r="D153" t="s">
        <v>1232</v>
      </c>
      <c r="E153" s="3">
        <f t="shared" si="4"/>
        <v>3</v>
      </c>
      <c r="F153">
        <v>71.45</v>
      </c>
      <c r="G153">
        <v>4</v>
      </c>
      <c r="H153">
        <v>21.51</v>
      </c>
      <c r="I153">
        <v>13.01</v>
      </c>
      <c r="J153">
        <v>10.01</v>
      </c>
      <c r="K153">
        <v>4</v>
      </c>
      <c r="L153">
        <v>11.13</v>
      </c>
      <c r="M153">
        <v>2.63</v>
      </c>
      <c r="N153">
        <v>-0.37</v>
      </c>
      <c r="O153" s="19">
        <f t="shared" si="5"/>
        <v>0.75</v>
      </c>
    </row>
    <row r="154" spans="1:15" x14ac:dyDescent="0.25">
      <c r="A154" s="39"/>
      <c r="B154" s="41"/>
      <c r="C154" t="s">
        <v>1366</v>
      </c>
      <c r="D154" t="s">
        <v>1232</v>
      </c>
      <c r="E154" s="3">
        <f t="shared" si="4"/>
        <v>3</v>
      </c>
      <c r="F154">
        <v>71.45</v>
      </c>
      <c r="G154">
        <v>4</v>
      </c>
      <c r="H154">
        <v>21.51</v>
      </c>
      <c r="I154">
        <v>13.01</v>
      </c>
      <c r="J154">
        <v>10.01</v>
      </c>
      <c r="K154">
        <v>4</v>
      </c>
      <c r="L154">
        <v>12</v>
      </c>
      <c r="M154">
        <v>3.5</v>
      </c>
      <c r="N154">
        <v>0.5</v>
      </c>
      <c r="O154" s="19">
        <f t="shared" si="5"/>
        <v>0.75</v>
      </c>
    </row>
    <row r="155" spans="1:15" x14ac:dyDescent="0.25">
      <c r="A155" s="39"/>
      <c r="B155" s="41"/>
      <c r="C155" t="s">
        <v>1367</v>
      </c>
      <c r="D155" t="s">
        <v>1232</v>
      </c>
      <c r="E155" s="3">
        <f t="shared" si="4"/>
        <v>3</v>
      </c>
      <c r="F155">
        <v>68.41</v>
      </c>
      <c r="G155">
        <v>4</v>
      </c>
      <c r="H155">
        <v>20.59</v>
      </c>
      <c r="I155">
        <v>12.09</v>
      </c>
      <c r="J155">
        <v>9.09</v>
      </c>
      <c r="K155">
        <v>4</v>
      </c>
      <c r="L155">
        <v>12</v>
      </c>
      <c r="M155">
        <v>3.5</v>
      </c>
      <c r="N155">
        <v>0.5</v>
      </c>
      <c r="O155" s="19">
        <f t="shared" si="5"/>
        <v>0.75</v>
      </c>
    </row>
    <row r="156" spans="1:15" x14ac:dyDescent="0.25">
      <c r="A156" s="39"/>
      <c r="B156" s="41"/>
      <c r="C156" t="s">
        <v>1368</v>
      </c>
      <c r="D156" t="s">
        <v>1232</v>
      </c>
      <c r="E156" s="3">
        <f t="shared" si="4"/>
        <v>3</v>
      </c>
      <c r="F156">
        <v>71.45</v>
      </c>
      <c r="G156">
        <v>4</v>
      </c>
      <c r="H156">
        <v>21.51</v>
      </c>
      <c r="I156">
        <v>13.01</v>
      </c>
      <c r="J156">
        <v>10.01</v>
      </c>
      <c r="K156">
        <v>4</v>
      </c>
      <c r="L156">
        <v>12</v>
      </c>
      <c r="M156">
        <v>3.5</v>
      </c>
      <c r="N156">
        <v>0.5</v>
      </c>
      <c r="O156" s="19">
        <f t="shared" si="5"/>
        <v>0.75</v>
      </c>
    </row>
    <row r="157" spans="1:15" x14ac:dyDescent="0.25">
      <c r="A157" s="39"/>
      <c r="B157" s="41"/>
      <c r="C157" t="s">
        <v>1369</v>
      </c>
      <c r="D157" t="s">
        <v>1232</v>
      </c>
      <c r="E157" s="3">
        <f t="shared" si="4"/>
        <v>3</v>
      </c>
      <c r="F157">
        <v>71.45</v>
      </c>
      <c r="G157">
        <v>4</v>
      </c>
      <c r="H157">
        <v>21.51</v>
      </c>
      <c r="I157">
        <v>13.01</v>
      </c>
      <c r="J157">
        <v>10.01</v>
      </c>
      <c r="K157">
        <v>4</v>
      </c>
      <c r="L157">
        <v>11.7</v>
      </c>
      <c r="M157">
        <v>3.2</v>
      </c>
      <c r="N157">
        <v>0.2</v>
      </c>
      <c r="O157" s="19">
        <f t="shared" si="5"/>
        <v>0.75</v>
      </c>
    </row>
    <row r="158" spans="1:15" x14ac:dyDescent="0.25">
      <c r="A158" s="39"/>
      <c r="B158" s="41"/>
      <c r="C158" t="s">
        <v>1370</v>
      </c>
      <c r="D158" t="s">
        <v>1232</v>
      </c>
      <c r="E158" s="3">
        <f t="shared" si="4"/>
        <v>3</v>
      </c>
      <c r="F158">
        <v>71.45</v>
      </c>
      <c r="G158">
        <v>4</v>
      </c>
      <c r="H158">
        <v>21.51</v>
      </c>
      <c r="I158">
        <v>13.01</v>
      </c>
      <c r="J158">
        <v>10.01</v>
      </c>
      <c r="K158">
        <v>4</v>
      </c>
      <c r="L158">
        <v>12</v>
      </c>
      <c r="M158">
        <v>3.5</v>
      </c>
      <c r="N158">
        <v>0.5</v>
      </c>
      <c r="O158" s="19">
        <f t="shared" si="5"/>
        <v>0.75</v>
      </c>
    </row>
    <row r="159" spans="1:15" x14ac:dyDescent="0.25">
      <c r="A159" s="39"/>
      <c r="B159" s="41"/>
      <c r="C159" t="s">
        <v>1371</v>
      </c>
      <c r="D159" t="s">
        <v>1232</v>
      </c>
      <c r="E159" s="3">
        <f t="shared" si="4"/>
        <v>3</v>
      </c>
      <c r="F159">
        <v>68.41</v>
      </c>
      <c r="G159">
        <v>4</v>
      </c>
      <c r="H159">
        <v>20.59</v>
      </c>
      <c r="I159">
        <v>12.09</v>
      </c>
      <c r="J159">
        <v>9.09</v>
      </c>
      <c r="K159">
        <v>4</v>
      </c>
      <c r="L159">
        <v>12</v>
      </c>
      <c r="M159">
        <v>3.5</v>
      </c>
      <c r="N159">
        <v>0.5</v>
      </c>
      <c r="O159" s="19">
        <f t="shared" si="5"/>
        <v>0.75</v>
      </c>
    </row>
    <row r="160" spans="1:15" x14ac:dyDescent="0.25">
      <c r="A160" s="39"/>
      <c r="B160" s="41"/>
      <c r="C160" t="s">
        <v>1372</v>
      </c>
      <c r="D160" t="s">
        <v>1232</v>
      </c>
      <c r="E160" s="3">
        <f t="shared" si="4"/>
        <v>3</v>
      </c>
      <c r="F160">
        <v>71.45</v>
      </c>
      <c r="G160">
        <v>4</v>
      </c>
      <c r="H160">
        <v>21.51</v>
      </c>
      <c r="I160">
        <v>13.01</v>
      </c>
      <c r="J160">
        <v>10.01</v>
      </c>
      <c r="K160">
        <v>4</v>
      </c>
      <c r="L160">
        <v>12</v>
      </c>
      <c r="M160">
        <v>3.5</v>
      </c>
      <c r="N160">
        <v>0.5</v>
      </c>
      <c r="O160" s="19">
        <f t="shared" si="5"/>
        <v>0.75</v>
      </c>
    </row>
    <row r="161" spans="1:15" x14ac:dyDescent="0.25">
      <c r="A161" s="39"/>
      <c r="B161" s="42"/>
      <c r="C161" s="10" t="s">
        <v>1373</v>
      </c>
      <c r="D161" s="10" t="s">
        <v>1232</v>
      </c>
      <c r="E161" s="11">
        <f t="shared" si="4"/>
        <v>3</v>
      </c>
      <c r="F161" s="10">
        <v>71.45</v>
      </c>
      <c r="G161" s="10">
        <v>4</v>
      </c>
      <c r="H161" s="10">
        <v>21.51</v>
      </c>
      <c r="I161" s="10">
        <v>13.01</v>
      </c>
      <c r="J161" s="10">
        <v>10.01</v>
      </c>
      <c r="K161" s="10">
        <v>4</v>
      </c>
      <c r="L161" s="10">
        <v>12</v>
      </c>
      <c r="M161" s="10">
        <v>3.5</v>
      </c>
      <c r="N161" s="10">
        <v>0.5</v>
      </c>
      <c r="O161" s="20">
        <f t="shared" si="5"/>
        <v>0.75</v>
      </c>
    </row>
    <row r="162" spans="1:15" x14ac:dyDescent="0.25">
      <c r="A162" s="39"/>
      <c r="B162" s="40" t="s">
        <v>5</v>
      </c>
      <c r="C162" s="7" t="s">
        <v>1374</v>
      </c>
      <c r="D162" s="7" t="s">
        <v>181</v>
      </c>
      <c r="E162" s="8">
        <f t="shared" si="4"/>
        <v>4</v>
      </c>
      <c r="F162" s="7">
        <v>95.27</v>
      </c>
      <c r="G162" s="7">
        <v>4</v>
      </c>
      <c r="H162" s="7">
        <v>28.68</v>
      </c>
      <c r="I162" s="7">
        <v>20.18</v>
      </c>
      <c r="J162" s="7">
        <v>17.18</v>
      </c>
      <c r="K162" s="7">
        <v>4</v>
      </c>
      <c r="L162" s="7">
        <v>16</v>
      </c>
      <c r="M162" s="7">
        <v>7.5</v>
      </c>
      <c r="N162" s="7">
        <v>4.5</v>
      </c>
      <c r="O162" s="18">
        <f t="shared" si="5"/>
        <v>1</v>
      </c>
    </row>
    <row r="163" spans="1:15" x14ac:dyDescent="0.25">
      <c r="A163" s="39"/>
      <c r="B163" s="41"/>
      <c r="C163" t="s">
        <v>1375</v>
      </c>
      <c r="D163" t="s">
        <v>181</v>
      </c>
      <c r="E163" s="3">
        <f t="shared" si="4"/>
        <v>4</v>
      </c>
      <c r="F163">
        <v>95.27</v>
      </c>
      <c r="G163">
        <v>4</v>
      </c>
      <c r="H163">
        <v>28.68</v>
      </c>
      <c r="I163">
        <v>20.18</v>
      </c>
      <c r="J163">
        <v>17.18</v>
      </c>
      <c r="K163">
        <v>4</v>
      </c>
      <c r="L163">
        <v>16</v>
      </c>
      <c r="M163">
        <v>7.5</v>
      </c>
      <c r="N163">
        <v>4.5</v>
      </c>
      <c r="O163" s="19">
        <f t="shared" si="5"/>
        <v>1</v>
      </c>
    </row>
    <row r="164" spans="1:15" x14ac:dyDescent="0.25">
      <c r="A164" s="39"/>
      <c r="B164" s="41"/>
      <c r="C164" t="s">
        <v>1376</v>
      </c>
      <c r="D164" t="s">
        <v>181</v>
      </c>
      <c r="E164" s="3">
        <f t="shared" si="4"/>
        <v>4</v>
      </c>
      <c r="F164">
        <v>95.27</v>
      </c>
      <c r="G164">
        <v>4</v>
      </c>
      <c r="H164">
        <v>28.68</v>
      </c>
      <c r="I164">
        <v>20.18</v>
      </c>
      <c r="J164">
        <v>17.18</v>
      </c>
      <c r="K164">
        <v>4</v>
      </c>
      <c r="L164">
        <v>16</v>
      </c>
      <c r="M164">
        <v>7.5</v>
      </c>
      <c r="N164">
        <v>4.5</v>
      </c>
      <c r="O164" s="19">
        <f t="shared" si="5"/>
        <v>1</v>
      </c>
    </row>
    <row r="165" spans="1:15" x14ac:dyDescent="0.25">
      <c r="A165" s="39"/>
      <c r="B165" s="41"/>
      <c r="C165" t="s">
        <v>1377</v>
      </c>
      <c r="D165" t="s">
        <v>181</v>
      </c>
      <c r="E165" s="3">
        <f t="shared" si="4"/>
        <v>4</v>
      </c>
      <c r="F165">
        <v>95.27</v>
      </c>
      <c r="G165">
        <v>4</v>
      </c>
      <c r="H165">
        <v>28.68</v>
      </c>
      <c r="I165">
        <v>20.18</v>
      </c>
      <c r="J165">
        <v>17.18</v>
      </c>
      <c r="K165">
        <v>4</v>
      </c>
      <c r="L165">
        <v>16</v>
      </c>
      <c r="M165">
        <v>7.5</v>
      </c>
      <c r="N165">
        <v>4.5</v>
      </c>
      <c r="O165" s="19">
        <f t="shared" si="5"/>
        <v>1</v>
      </c>
    </row>
    <row r="166" spans="1:15" x14ac:dyDescent="0.25">
      <c r="A166" s="39"/>
      <c r="B166" s="41"/>
      <c r="C166" t="s">
        <v>1378</v>
      </c>
      <c r="D166" t="s">
        <v>181</v>
      </c>
      <c r="E166" s="3">
        <f t="shared" si="4"/>
        <v>4</v>
      </c>
      <c r="F166">
        <v>95.27</v>
      </c>
      <c r="G166">
        <v>4</v>
      </c>
      <c r="H166">
        <v>28.68</v>
      </c>
      <c r="I166">
        <v>20.18</v>
      </c>
      <c r="J166">
        <v>17.18</v>
      </c>
      <c r="K166">
        <v>4</v>
      </c>
      <c r="L166">
        <v>16</v>
      </c>
      <c r="M166">
        <v>7.5</v>
      </c>
      <c r="N166">
        <v>4.5</v>
      </c>
      <c r="O166" s="19">
        <f t="shared" si="5"/>
        <v>1</v>
      </c>
    </row>
    <row r="167" spans="1:15" x14ac:dyDescent="0.25">
      <c r="A167" s="39"/>
      <c r="B167" s="41"/>
      <c r="C167" t="s">
        <v>1379</v>
      </c>
      <c r="D167" t="s">
        <v>181</v>
      </c>
      <c r="E167" s="3">
        <f t="shared" si="4"/>
        <v>4</v>
      </c>
      <c r="F167">
        <v>95.27</v>
      </c>
      <c r="G167">
        <v>4</v>
      </c>
      <c r="H167">
        <v>28.68</v>
      </c>
      <c r="I167">
        <v>20.18</v>
      </c>
      <c r="J167">
        <v>17.18</v>
      </c>
      <c r="K167">
        <v>4</v>
      </c>
      <c r="L167">
        <v>16</v>
      </c>
      <c r="M167">
        <v>7.5</v>
      </c>
      <c r="N167">
        <v>4.5</v>
      </c>
      <c r="O167" s="19">
        <f t="shared" si="5"/>
        <v>1</v>
      </c>
    </row>
    <row r="168" spans="1:15" x14ac:dyDescent="0.25">
      <c r="A168" s="39"/>
      <c r="B168" s="41"/>
      <c r="C168" t="s">
        <v>1380</v>
      </c>
      <c r="D168" t="s">
        <v>181</v>
      </c>
      <c r="E168" s="3">
        <f t="shared" si="4"/>
        <v>4</v>
      </c>
      <c r="F168">
        <v>95.27</v>
      </c>
      <c r="G168">
        <v>4</v>
      </c>
      <c r="H168">
        <v>28.68</v>
      </c>
      <c r="I168">
        <v>20.18</v>
      </c>
      <c r="J168">
        <v>17.18</v>
      </c>
      <c r="K168">
        <v>4</v>
      </c>
      <c r="L168">
        <v>16</v>
      </c>
      <c r="M168">
        <v>7.5</v>
      </c>
      <c r="N168">
        <v>4.5</v>
      </c>
      <c r="O168" s="19">
        <f t="shared" si="5"/>
        <v>1</v>
      </c>
    </row>
    <row r="169" spans="1:15" x14ac:dyDescent="0.25">
      <c r="A169" s="39"/>
      <c r="B169" s="41"/>
      <c r="C169" t="s">
        <v>1381</v>
      </c>
      <c r="D169" t="s">
        <v>181</v>
      </c>
      <c r="E169" s="3">
        <f t="shared" si="4"/>
        <v>4</v>
      </c>
      <c r="F169">
        <v>95.27</v>
      </c>
      <c r="G169">
        <v>4</v>
      </c>
      <c r="H169">
        <v>28.68</v>
      </c>
      <c r="I169">
        <v>20.18</v>
      </c>
      <c r="J169">
        <v>17.18</v>
      </c>
      <c r="K169">
        <v>4</v>
      </c>
      <c r="L169">
        <v>16</v>
      </c>
      <c r="M169">
        <v>7.5</v>
      </c>
      <c r="N169">
        <v>4.5</v>
      </c>
      <c r="O169" s="19">
        <f t="shared" si="5"/>
        <v>1</v>
      </c>
    </row>
    <row r="170" spans="1:15" x14ac:dyDescent="0.25">
      <c r="A170" s="39"/>
      <c r="B170" s="41"/>
      <c r="C170" t="s">
        <v>1382</v>
      </c>
      <c r="D170" t="s">
        <v>181</v>
      </c>
      <c r="E170" s="3">
        <f t="shared" si="4"/>
        <v>4</v>
      </c>
      <c r="F170">
        <v>95.27</v>
      </c>
      <c r="G170">
        <v>4</v>
      </c>
      <c r="H170">
        <v>28.68</v>
      </c>
      <c r="I170">
        <v>20.18</v>
      </c>
      <c r="J170">
        <v>17.18</v>
      </c>
      <c r="K170">
        <v>4</v>
      </c>
      <c r="L170">
        <v>16</v>
      </c>
      <c r="M170">
        <v>7.5</v>
      </c>
      <c r="N170">
        <v>4.5</v>
      </c>
      <c r="O170" s="19">
        <f t="shared" si="5"/>
        <v>1</v>
      </c>
    </row>
    <row r="171" spans="1:15" x14ac:dyDescent="0.25">
      <c r="A171" s="39"/>
      <c r="B171" s="41"/>
      <c r="C171" t="s">
        <v>1383</v>
      </c>
      <c r="D171" t="s">
        <v>181</v>
      </c>
      <c r="E171" s="3">
        <f t="shared" si="4"/>
        <v>4</v>
      </c>
      <c r="F171">
        <v>91.21</v>
      </c>
      <c r="G171">
        <v>4</v>
      </c>
      <c r="H171">
        <v>27.46</v>
      </c>
      <c r="I171">
        <v>18.96</v>
      </c>
      <c r="J171">
        <v>15.96</v>
      </c>
      <c r="K171">
        <v>4</v>
      </c>
      <c r="L171">
        <v>16</v>
      </c>
      <c r="M171">
        <v>7.5</v>
      </c>
      <c r="N171">
        <v>4.5</v>
      </c>
      <c r="O171" s="19">
        <f t="shared" si="5"/>
        <v>1</v>
      </c>
    </row>
    <row r="172" spans="1:15" x14ac:dyDescent="0.25">
      <c r="A172" s="39"/>
      <c r="B172" s="41"/>
      <c r="C172" t="s">
        <v>1384</v>
      </c>
      <c r="D172" t="s">
        <v>181</v>
      </c>
      <c r="E172" s="3">
        <f t="shared" si="4"/>
        <v>4</v>
      </c>
      <c r="F172">
        <v>102.28</v>
      </c>
      <c r="G172">
        <v>4</v>
      </c>
      <c r="H172">
        <v>30.79</v>
      </c>
      <c r="I172">
        <v>22.29</v>
      </c>
      <c r="J172">
        <v>19.29</v>
      </c>
      <c r="K172">
        <v>4</v>
      </c>
      <c r="L172">
        <v>16</v>
      </c>
      <c r="M172">
        <v>7.5</v>
      </c>
      <c r="N172">
        <v>4.5</v>
      </c>
      <c r="O172" s="19">
        <f t="shared" si="5"/>
        <v>1</v>
      </c>
    </row>
    <row r="173" spans="1:15" x14ac:dyDescent="0.25">
      <c r="A173" s="39"/>
      <c r="B173" s="41"/>
      <c r="C173" t="s">
        <v>1385</v>
      </c>
      <c r="D173" t="s">
        <v>181</v>
      </c>
      <c r="E173" s="3">
        <f t="shared" si="4"/>
        <v>4</v>
      </c>
      <c r="F173">
        <v>102.28</v>
      </c>
      <c r="G173">
        <v>4</v>
      </c>
      <c r="H173">
        <v>30.79</v>
      </c>
      <c r="I173">
        <v>22.29</v>
      </c>
      <c r="J173">
        <v>19.29</v>
      </c>
      <c r="K173">
        <v>4</v>
      </c>
      <c r="L173">
        <v>16</v>
      </c>
      <c r="M173">
        <v>7.5</v>
      </c>
      <c r="N173">
        <v>4.5</v>
      </c>
      <c r="O173" s="19">
        <f t="shared" si="5"/>
        <v>1</v>
      </c>
    </row>
    <row r="174" spans="1:15" x14ac:dyDescent="0.25">
      <c r="A174" s="39"/>
      <c r="B174" s="41"/>
      <c r="C174" t="s">
        <v>1386</v>
      </c>
      <c r="D174" t="s">
        <v>181</v>
      </c>
      <c r="E174" s="3">
        <f t="shared" si="4"/>
        <v>4</v>
      </c>
      <c r="F174">
        <v>102.28</v>
      </c>
      <c r="G174">
        <v>4</v>
      </c>
      <c r="H174">
        <v>30.79</v>
      </c>
      <c r="I174">
        <v>22.29</v>
      </c>
      <c r="J174">
        <v>19.29</v>
      </c>
      <c r="K174">
        <v>4</v>
      </c>
      <c r="L174">
        <v>16</v>
      </c>
      <c r="M174">
        <v>7.5</v>
      </c>
      <c r="N174">
        <v>4.5</v>
      </c>
      <c r="O174" s="19">
        <f t="shared" si="5"/>
        <v>1</v>
      </c>
    </row>
    <row r="175" spans="1:15" x14ac:dyDescent="0.25">
      <c r="A175" s="39"/>
      <c r="B175" s="41"/>
      <c r="C175" t="s">
        <v>1387</v>
      </c>
      <c r="D175" t="s">
        <v>181</v>
      </c>
      <c r="E175" s="3">
        <f t="shared" si="4"/>
        <v>4</v>
      </c>
      <c r="F175">
        <v>91.21</v>
      </c>
      <c r="G175">
        <v>4</v>
      </c>
      <c r="H175">
        <v>27.46</v>
      </c>
      <c r="I175">
        <v>18.96</v>
      </c>
      <c r="J175">
        <v>15.96</v>
      </c>
      <c r="K175">
        <v>4</v>
      </c>
      <c r="L175">
        <v>16</v>
      </c>
      <c r="M175">
        <v>7.5</v>
      </c>
      <c r="N175">
        <v>4.5</v>
      </c>
      <c r="O175" s="19">
        <f t="shared" si="5"/>
        <v>1</v>
      </c>
    </row>
    <row r="176" spans="1:15" x14ac:dyDescent="0.25">
      <c r="A176" s="39"/>
      <c r="B176" s="41"/>
      <c r="C176" t="s">
        <v>1388</v>
      </c>
      <c r="D176" t="s">
        <v>181</v>
      </c>
      <c r="E176" s="3">
        <f t="shared" si="4"/>
        <v>4</v>
      </c>
      <c r="F176">
        <v>102.28</v>
      </c>
      <c r="G176">
        <v>4</v>
      </c>
      <c r="H176">
        <v>30.79</v>
      </c>
      <c r="I176">
        <v>22.29</v>
      </c>
      <c r="J176">
        <v>19.29</v>
      </c>
      <c r="K176">
        <v>4</v>
      </c>
      <c r="L176">
        <v>16</v>
      </c>
      <c r="M176">
        <v>7.5</v>
      </c>
      <c r="N176">
        <v>4.5</v>
      </c>
      <c r="O176" s="19">
        <f t="shared" si="5"/>
        <v>1</v>
      </c>
    </row>
    <row r="177" spans="1:15" x14ac:dyDescent="0.25">
      <c r="A177" s="39"/>
      <c r="B177" s="41"/>
      <c r="C177" t="s">
        <v>1389</v>
      </c>
      <c r="D177" t="s">
        <v>181</v>
      </c>
      <c r="E177" s="3">
        <f t="shared" si="4"/>
        <v>4</v>
      </c>
      <c r="F177">
        <v>102.28</v>
      </c>
      <c r="G177">
        <v>4</v>
      </c>
      <c r="H177">
        <v>30.79</v>
      </c>
      <c r="I177">
        <v>22.29</v>
      </c>
      <c r="J177">
        <v>19.29</v>
      </c>
      <c r="K177">
        <v>4</v>
      </c>
      <c r="L177">
        <v>16</v>
      </c>
      <c r="M177">
        <v>7.5</v>
      </c>
      <c r="N177">
        <v>4.5</v>
      </c>
      <c r="O177" s="19">
        <f t="shared" si="5"/>
        <v>1</v>
      </c>
    </row>
    <row r="178" spans="1:15" x14ac:dyDescent="0.25">
      <c r="A178" s="39"/>
      <c r="B178" s="41"/>
      <c r="C178" t="s">
        <v>1390</v>
      </c>
      <c r="D178" t="s">
        <v>181</v>
      </c>
      <c r="E178" s="3">
        <f t="shared" si="4"/>
        <v>4</v>
      </c>
      <c r="F178">
        <v>91.21</v>
      </c>
      <c r="G178">
        <v>4</v>
      </c>
      <c r="H178">
        <v>27.46</v>
      </c>
      <c r="I178">
        <v>18.96</v>
      </c>
      <c r="J178">
        <v>15.96</v>
      </c>
      <c r="K178">
        <v>4</v>
      </c>
      <c r="L178">
        <v>16</v>
      </c>
      <c r="M178">
        <v>7.5</v>
      </c>
      <c r="N178">
        <v>4.5</v>
      </c>
      <c r="O178" s="19">
        <f t="shared" si="5"/>
        <v>1</v>
      </c>
    </row>
    <row r="179" spans="1:15" x14ac:dyDescent="0.25">
      <c r="A179" s="39"/>
      <c r="B179" s="41"/>
      <c r="C179" t="s">
        <v>1391</v>
      </c>
      <c r="D179" t="s">
        <v>181</v>
      </c>
      <c r="E179" s="3">
        <f t="shared" si="4"/>
        <v>4</v>
      </c>
      <c r="F179">
        <v>102.28</v>
      </c>
      <c r="G179">
        <v>4</v>
      </c>
      <c r="H179">
        <v>30.79</v>
      </c>
      <c r="I179">
        <v>22.29</v>
      </c>
      <c r="J179">
        <v>19.29</v>
      </c>
      <c r="K179">
        <v>4</v>
      </c>
      <c r="L179">
        <v>15.52</v>
      </c>
      <c r="M179">
        <v>7.02</v>
      </c>
      <c r="N179">
        <v>4.0199999999999996</v>
      </c>
      <c r="O179" s="19">
        <f t="shared" si="5"/>
        <v>1</v>
      </c>
    </row>
    <row r="180" spans="1:15" x14ac:dyDescent="0.25">
      <c r="A180" s="39"/>
      <c r="B180" s="41"/>
      <c r="C180" t="s">
        <v>1392</v>
      </c>
      <c r="D180" t="s">
        <v>181</v>
      </c>
      <c r="E180" s="3">
        <f t="shared" si="4"/>
        <v>4</v>
      </c>
      <c r="F180">
        <v>102.28</v>
      </c>
      <c r="G180">
        <v>4</v>
      </c>
      <c r="H180">
        <v>30.79</v>
      </c>
      <c r="I180">
        <v>22.29</v>
      </c>
      <c r="J180">
        <v>19.29</v>
      </c>
      <c r="K180">
        <v>4</v>
      </c>
      <c r="L180">
        <v>16</v>
      </c>
      <c r="M180">
        <v>7.5</v>
      </c>
      <c r="N180">
        <v>4.5</v>
      </c>
      <c r="O180" s="19">
        <f t="shared" si="5"/>
        <v>1</v>
      </c>
    </row>
    <row r="181" spans="1:15" x14ac:dyDescent="0.25">
      <c r="A181" s="39"/>
      <c r="B181" s="42"/>
      <c r="C181" s="10" t="s">
        <v>1393</v>
      </c>
      <c r="D181" s="10" t="s">
        <v>181</v>
      </c>
      <c r="E181" s="11">
        <f t="shared" si="4"/>
        <v>4</v>
      </c>
      <c r="F181" s="10">
        <v>102.28</v>
      </c>
      <c r="G181" s="10">
        <v>4</v>
      </c>
      <c r="H181" s="10">
        <v>30.79</v>
      </c>
      <c r="I181" s="10">
        <v>22.29</v>
      </c>
      <c r="J181" s="10">
        <v>19.29</v>
      </c>
      <c r="K181" s="10">
        <v>4</v>
      </c>
      <c r="L181" s="10">
        <v>16</v>
      </c>
      <c r="M181" s="10">
        <v>7.5</v>
      </c>
      <c r="N181" s="10">
        <v>4.5</v>
      </c>
      <c r="O181" s="20">
        <f t="shared" si="5"/>
        <v>1</v>
      </c>
    </row>
    <row r="182" spans="1:15" x14ac:dyDescent="0.25">
      <c r="A182" s="39" t="s">
        <v>3</v>
      </c>
      <c r="B182" s="40" t="s">
        <v>4</v>
      </c>
      <c r="C182" s="7" t="s">
        <v>1511</v>
      </c>
      <c r="D182" s="7" t="s">
        <v>271</v>
      </c>
      <c r="E182" s="8">
        <f t="shared" si="4"/>
        <v>2</v>
      </c>
      <c r="F182" s="7">
        <v>52.44</v>
      </c>
      <c r="G182" s="7">
        <v>4</v>
      </c>
      <c r="H182" s="7">
        <v>15.79</v>
      </c>
      <c r="I182" s="7">
        <v>7.29</v>
      </c>
      <c r="J182" s="7">
        <v>4.29</v>
      </c>
      <c r="K182" s="7">
        <v>2</v>
      </c>
      <c r="L182" s="7">
        <v>8</v>
      </c>
      <c r="M182" s="7">
        <v>-0.5</v>
      </c>
      <c r="N182" s="7">
        <v>-3.5</v>
      </c>
      <c r="O182" s="18">
        <f t="shared" si="5"/>
        <v>1</v>
      </c>
    </row>
    <row r="183" spans="1:15" x14ac:dyDescent="0.25">
      <c r="A183" s="39"/>
      <c r="B183" s="41"/>
      <c r="C183" t="s">
        <v>1394</v>
      </c>
      <c r="D183" t="s">
        <v>271</v>
      </c>
      <c r="E183" s="3">
        <f t="shared" si="4"/>
        <v>2</v>
      </c>
      <c r="F183">
        <v>47.63</v>
      </c>
      <c r="G183">
        <v>4</v>
      </c>
      <c r="H183">
        <v>14.34</v>
      </c>
      <c r="I183">
        <v>5.84</v>
      </c>
      <c r="J183">
        <v>2.84</v>
      </c>
      <c r="K183">
        <v>2</v>
      </c>
      <c r="L183">
        <v>8</v>
      </c>
      <c r="M183">
        <v>-0.5</v>
      </c>
      <c r="N183">
        <v>-3.5</v>
      </c>
      <c r="O183" s="19">
        <f t="shared" si="5"/>
        <v>1</v>
      </c>
    </row>
    <row r="184" spans="1:15" x14ac:dyDescent="0.25">
      <c r="A184" s="39"/>
      <c r="B184" s="41"/>
      <c r="C184" t="s">
        <v>1395</v>
      </c>
      <c r="D184" t="s">
        <v>271</v>
      </c>
      <c r="E184" s="3">
        <f t="shared" si="4"/>
        <v>2</v>
      </c>
      <c r="F184">
        <v>47.63</v>
      </c>
      <c r="G184">
        <v>4</v>
      </c>
      <c r="H184">
        <v>14.34</v>
      </c>
      <c r="I184">
        <v>5.84</v>
      </c>
      <c r="J184">
        <v>2.84</v>
      </c>
      <c r="K184">
        <v>2</v>
      </c>
      <c r="L184">
        <v>8</v>
      </c>
      <c r="M184">
        <v>-0.5</v>
      </c>
      <c r="N184">
        <v>-3.5</v>
      </c>
      <c r="O184" s="19">
        <f t="shared" si="5"/>
        <v>1</v>
      </c>
    </row>
    <row r="185" spans="1:15" x14ac:dyDescent="0.25">
      <c r="A185" s="39"/>
      <c r="B185" s="41"/>
      <c r="C185" t="s">
        <v>1396</v>
      </c>
      <c r="D185" t="s">
        <v>271</v>
      </c>
      <c r="E185" s="3">
        <f t="shared" si="4"/>
        <v>2</v>
      </c>
      <c r="F185">
        <v>47.63</v>
      </c>
      <c r="G185">
        <v>4</v>
      </c>
      <c r="H185">
        <v>14.34</v>
      </c>
      <c r="I185">
        <v>5.84</v>
      </c>
      <c r="J185">
        <v>2.84</v>
      </c>
      <c r="K185">
        <v>2</v>
      </c>
      <c r="L185">
        <v>8</v>
      </c>
      <c r="M185">
        <v>-0.5</v>
      </c>
      <c r="N185">
        <v>-3.5</v>
      </c>
      <c r="O185" s="19">
        <f t="shared" si="5"/>
        <v>1</v>
      </c>
    </row>
    <row r="186" spans="1:15" x14ac:dyDescent="0.25">
      <c r="A186" s="39"/>
      <c r="B186" s="41"/>
      <c r="C186" t="s">
        <v>1397</v>
      </c>
      <c r="D186" t="s">
        <v>271</v>
      </c>
      <c r="E186" s="3">
        <f t="shared" si="4"/>
        <v>2</v>
      </c>
      <c r="F186">
        <v>52.44</v>
      </c>
      <c r="G186">
        <v>4</v>
      </c>
      <c r="H186">
        <v>15.79</v>
      </c>
      <c r="I186">
        <v>7.29</v>
      </c>
      <c r="J186">
        <v>4.29</v>
      </c>
      <c r="K186">
        <v>2</v>
      </c>
      <c r="L186">
        <v>8</v>
      </c>
      <c r="M186">
        <v>-0.5</v>
      </c>
      <c r="N186">
        <v>-3.5</v>
      </c>
      <c r="O186" s="19">
        <f t="shared" si="5"/>
        <v>1</v>
      </c>
    </row>
    <row r="187" spans="1:15" x14ac:dyDescent="0.25">
      <c r="A187" s="39"/>
      <c r="B187" s="41"/>
      <c r="C187" t="s">
        <v>1398</v>
      </c>
      <c r="D187" t="s">
        <v>271</v>
      </c>
      <c r="E187" s="3">
        <f t="shared" si="4"/>
        <v>2</v>
      </c>
      <c r="F187">
        <v>52.44</v>
      </c>
      <c r="G187">
        <v>4</v>
      </c>
      <c r="H187">
        <v>15.79</v>
      </c>
      <c r="I187">
        <v>7.29</v>
      </c>
      <c r="J187">
        <v>4.29</v>
      </c>
      <c r="K187">
        <v>2</v>
      </c>
      <c r="L187">
        <v>8</v>
      </c>
      <c r="M187">
        <v>-0.5</v>
      </c>
      <c r="N187">
        <v>-3.5</v>
      </c>
      <c r="O187" s="19">
        <f t="shared" si="5"/>
        <v>1</v>
      </c>
    </row>
    <row r="188" spans="1:15" x14ac:dyDescent="0.25">
      <c r="A188" s="39"/>
      <c r="B188" s="41"/>
      <c r="C188" t="s">
        <v>1399</v>
      </c>
      <c r="D188" t="s">
        <v>271</v>
      </c>
      <c r="E188" s="3">
        <f t="shared" si="4"/>
        <v>2</v>
      </c>
      <c r="F188">
        <v>47.63</v>
      </c>
      <c r="G188">
        <v>4</v>
      </c>
      <c r="H188">
        <v>14.34</v>
      </c>
      <c r="I188">
        <v>5.84</v>
      </c>
      <c r="J188">
        <v>2.84</v>
      </c>
      <c r="K188">
        <v>2</v>
      </c>
      <c r="L188">
        <v>8</v>
      </c>
      <c r="M188">
        <v>-0.5</v>
      </c>
      <c r="N188">
        <v>-3.5</v>
      </c>
      <c r="O188" s="19">
        <f t="shared" si="5"/>
        <v>1</v>
      </c>
    </row>
    <row r="189" spans="1:15" x14ac:dyDescent="0.25">
      <c r="A189" s="39"/>
      <c r="B189" s="41"/>
      <c r="C189" t="s">
        <v>1400</v>
      </c>
      <c r="D189" t="s">
        <v>271</v>
      </c>
      <c r="E189" s="3">
        <f t="shared" si="4"/>
        <v>2</v>
      </c>
      <c r="F189">
        <v>51.14</v>
      </c>
      <c r="G189">
        <v>4</v>
      </c>
      <c r="H189">
        <v>15.39</v>
      </c>
      <c r="I189">
        <v>6.9</v>
      </c>
      <c r="J189">
        <v>3.9</v>
      </c>
      <c r="K189">
        <v>2</v>
      </c>
      <c r="L189">
        <v>8</v>
      </c>
      <c r="M189">
        <v>-0.5</v>
      </c>
      <c r="N189">
        <v>-3.5</v>
      </c>
      <c r="O189" s="19">
        <f t="shared" si="5"/>
        <v>1</v>
      </c>
    </row>
    <row r="190" spans="1:15" x14ac:dyDescent="0.25">
      <c r="A190" s="39"/>
      <c r="B190" s="41"/>
      <c r="C190" t="s">
        <v>1401</v>
      </c>
      <c r="D190" t="s">
        <v>271</v>
      </c>
      <c r="E190" s="3">
        <f t="shared" si="4"/>
        <v>2</v>
      </c>
      <c r="F190">
        <v>52.44</v>
      </c>
      <c r="G190">
        <v>4</v>
      </c>
      <c r="H190">
        <v>15.79</v>
      </c>
      <c r="I190">
        <v>7.29</v>
      </c>
      <c r="J190">
        <v>4.29</v>
      </c>
      <c r="K190">
        <v>2</v>
      </c>
      <c r="L190">
        <v>8</v>
      </c>
      <c r="M190">
        <v>-0.5</v>
      </c>
      <c r="N190">
        <v>-3.5</v>
      </c>
      <c r="O190" s="19">
        <f t="shared" si="5"/>
        <v>1</v>
      </c>
    </row>
    <row r="191" spans="1:15" x14ac:dyDescent="0.25">
      <c r="A191" s="39"/>
      <c r="B191" s="41"/>
      <c r="C191" t="s">
        <v>1402</v>
      </c>
      <c r="D191" t="s">
        <v>271</v>
      </c>
      <c r="E191" s="3">
        <f t="shared" si="4"/>
        <v>2</v>
      </c>
      <c r="F191">
        <v>47.63</v>
      </c>
      <c r="G191">
        <v>4</v>
      </c>
      <c r="H191">
        <v>14.34</v>
      </c>
      <c r="I191">
        <v>5.84</v>
      </c>
      <c r="J191">
        <v>2.84</v>
      </c>
      <c r="K191">
        <v>2</v>
      </c>
      <c r="L191">
        <v>8</v>
      </c>
      <c r="M191">
        <v>-0.5</v>
      </c>
      <c r="N191">
        <v>-3.5</v>
      </c>
      <c r="O191" s="19">
        <f t="shared" si="5"/>
        <v>1</v>
      </c>
    </row>
    <row r="192" spans="1:15" x14ac:dyDescent="0.25">
      <c r="A192" s="39"/>
      <c r="B192" s="41"/>
      <c r="C192" t="s">
        <v>1403</v>
      </c>
      <c r="D192" t="s">
        <v>271</v>
      </c>
      <c r="E192" s="3">
        <f t="shared" si="4"/>
        <v>2</v>
      </c>
      <c r="F192">
        <v>45.6</v>
      </c>
      <c r="G192">
        <v>4</v>
      </c>
      <c r="H192">
        <v>13.73</v>
      </c>
      <c r="I192">
        <v>5.23</v>
      </c>
      <c r="J192">
        <v>2.23</v>
      </c>
      <c r="K192">
        <v>2</v>
      </c>
      <c r="L192">
        <v>8</v>
      </c>
      <c r="M192">
        <v>-0.5</v>
      </c>
      <c r="N192">
        <v>-3.5</v>
      </c>
      <c r="O192" s="19">
        <f t="shared" si="5"/>
        <v>1</v>
      </c>
    </row>
    <row r="193" spans="1:15" x14ac:dyDescent="0.25">
      <c r="A193" s="39"/>
      <c r="B193" s="41"/>
      <c r="C193" t="s">
        <v>1404</v>
      </c>
      <c r="D193" t="s">
        <v>271</v>
      </c>
      <c r="E193" s="3">
        <f t="shared" si="4"/>
        <v>2</v>
      </c>
      <c r="F193">
        <v>52.44</v>
      </c>
      <c r="G193">
        <v>4</v>
      </c>
      <c r="H193">
        <v>15.79</v>
      </c>
      <c r="I193">
        <v>7.29</v>
      </c>
      <c r="J193">
        <v>4.29</v>
      </c>
      <c r="K193">
        <v>2</v>
      </c>
      <c r="L193">
        <v>8</v>
      </c>
      <c r="M193">
        <v>-0.5</v>
      </c>
      <c r="N193">
        <v>-3.5</v>
      </c>
      <c r="O193" s="19">
        <f t="shared" si="5"/>
        <v>1</v>
      </c>
    </row>
    <row r="194" spans="1:15" x14ac:dyDescent="0.25">
      <c r="A194" s="39"/>
      <c r="B194" s="41"/>
      <c r="C194" t="s">
        <v>1405</v>
      </c>
      <c r="D194" t="s">
        <v>271</v>
      </c>
      <c r="E194" s="3">
        <f t="shared" ref="E194:E241" si="6">IF(D194="Muito Fraca", 1, IF(D194="Fraca", 2, IF(D194="Boa", 3, 4)))</f>
        <v>2</v>
      </c>
      <c r="F194">
        <v>45.6</v>
      </c>
      <c r="G194">
        <v>4</v>
      </c>
      <c r="H194">
        <v>13.73</v>
      </c>
      <c r="I194">
        <v>5.23</v>
      </c>
      <c r="J194">
        <v>2.23</v>
      </c>
      <c r="K194">
        <v>2</v>
      </c>
      <c r="L194">
        <v>8</v>
      </c>
      <c r="M194">
        <v>-0.5</v>
      </c>
      <c r="N194">
        <v>-3.5</v>
      </c>
      <c r="O194" s="19">
        <f t="shared" si="5"/>
        <v>1</v>
      </c>
    </row>
    <row r="195" spans="1:15" x14ac:dyDescent="0.25">
      <c r="A195" s="39"/>
      <c r="B195" s="41"/>
      <c r="C195" t="s">
        <v>1406</v>
      </c>
      <c r="D195" t="s">
        <v>271</v>
      </c>
      <c r="E195" s="3">
        <f t="shared" si="6"/>
        <v>2</v>
      </c>
      <c r="F195">
        <v>45.6</v>
      </c>
      <c r="G195">
        <v>4</v>
      </c>
      <c r="H195">
        <v>13.73</v>
      </c>
      <c r="I195">
        <v>5.23</v>
      </c>
      <c r="J195">
        <v>2.23</v>
      </c>
      <c r="K195">
        <v>2</v>
      </c>
      <c r="L195">
        <v>8</v>
      </c>
      <c r="M195">
        <v>-0.5</v>
      </c>
      <c r="N195">
        <v>-3.5</v>
      </c>
      <c r="O195" s="19">
        <f t="shared" ref="O195:O241" si="7">E195/K195</f>
        <v>1</v>
      </c>
    </row>
    <row r="196" spans="1:15" x14ac:dyDescent="0.25">
      <c r="A196" s="39"/>
      <c r="B196" s="41"/>
      <c r="C196" t="s">
        <v>1407</v>
      </c>
      <c r="D196" t="s">
        <v>271</v>
      </c>
      <c r="E196" s="3">
        <f t="shared" si="6"/>
        <v>2</v>
      </c>
      <c r="F196">
        <v>52.44</v>
      </c>
      <c r="G196">
        <v>4</v>
      </c>
      <c r="H196">
        <v>15.79</v>
      </c>
      <c r="I196">
        <v>7.29</v>
      </c>
      <c r="J196">
        <v>4.29</v>
      </c>
      <c r="K196">
        <v>2</v>
      </c>
      <c r="L196">
        <v>8</v>
      </c>
      <c r="M196">
        <v>-0.5</v>
      </c>
      <c r="N196">
        <v>-3.5</v>
      </c>
      <c r="O196" s="19">
        <f t="shared" si="7"/>
        <v>1</v>
      </c>
    </row>
    <row r="197" spans="1:15" x14ac:dyDescent="0.25">
      <c r="A197" s="39"/>
      <c r="B197" s="41"/>
      <c r="C197" t="s">
        <v>1408</v>
      </c>
      <c r="D197" t="s">
        <v>271</v>
      </c>
      <c r="E197" s="3">
        <f t="shared" si="6"/>
        <v>2</v>
      </c>
      <c r="F197">
        <v>47.63</v>
      </c>
      <c r="G197">
        <v>4</v>
      </c>
      <c r="H197">
        <v>14.34</v>
      </c>
      <c r="I197">
        <v>5.84</v>
      </c>
      <c r="J197">
        <v>2.84</v>
      </c>
      <c r="K197">
        <v>2</v>
      </c>
      <c r="L197">
        <v>8</v>
      </c>
      <c r="M197">
        <v>-0.5</v>
      </c>
      <c r="N197">
        <v>-3.5</v>
      </c>
      <c r="O197" s="19">
        <f t="shared" si="7"/>
        <v>1</v>
      </c>
    </row>
    <row r="198" spans="1:15" x14ac:dyDescent="0.25">
      <c r="A198" s="39"/>
      <c r="B198" s="41"/>
      <c r="C198" t="s">
        <v>1409</v>
      </c>
      <c r="D198" t="s">
        <v>271</v>
      </c>
      <c r="E198" s="3">
        <f t="shared" si="6"/>
        <v>2</v>
      </c>
      <c r="F198">
        <v>51.14</v>
      </c>
      <c r="G198">
        <v>4</v>
      </c>
      <c r="H198">
        <v>15.39</v>
      </c>
      <c r="I198">
        <v>6.9</v>
      </c>
      <c r="J198">
        <v>3.9</v>
      </c>
      <c r="K198">
        <v>2</v>
      </c>
      <c r="L198">
        <v>8</v>
      </c>
      <c r="M198">
        <v>-0.5</v>
      </c>
      <c r="N198">
        <v>-3.5</v>
      </c>
      <c r="O198" s="19">
        <f t="shared" si="7"/>
        <v>1</v>
      </c>
    </row>
    <row r="199" spans="1:15" x14ac:dyDescent="0.25">
      <c r="A199" s="39"/>
      <c r="B199" s="41"/>
      <c r="C199" t="s">
        <v>1410</v>
      </c>
      <c r="D199" t="s">
        <v>271</v>
      </c>
      <c r="E199" s="3">
        <f t="shared" si="6"/>
        <v>2</v>
      </c>
      <c r="F199">
        <v>47.63</v>
      </c>
      <c r="G199">
        <v>4</v>
      </c>
      <c r="H199">
        <v>14.34</v>
      </c>
      <c r="I199">
        <v>5.84</v>
      </c>
      <c r="J199">
        <v>2.84</v>
      </c>
      <c r="K199">
        <v>2</v>
      </c>
      <c r="L199">
        <v>8</v>
      </c>
      <c r="M199">
        <v>-0.5</v>
      </c>
      <c r="N199">
        <v>-3.5</v>
      </c>
      <c r="O199" s="19">
        <f t="shared" si="7"/>
        <v>1</v>
      </c>
    </row>
    <row r="200" spans="1:15" x14ac:dyDescent="0.25">
      <c r="A200" s="39"/>
      <c r="B200" s="41"/>
      <c r="C200" t="s">
        <v>1411</v>
      </c>
      <c r="D200" t="s">
        <v>271</v>
      </c>
      <c r="E200" s="3">
        <f t="shared" si="6"/>
        <v>2</v>
      </c>
      <c r="F200">
        <v>52.44</v>
      </c>
      <c r="G200">
        <v>4</v>
      </c>
      <c r="H200">
        <v>15.79</v>
      </c>
      <c r="I200">
        <v>7.29</v>
      </c>
      <c r="J200">
        <v>4.29</v>
      </c>
      <c r="K200">
        <v>2</v>
      </c>
      <c r="L200">
        <v>8</v>
      </c>
      <c r="M200">
        <v>-0.5</v>
      </c>
      <c r="N200">
        <v>-3.5</v>
      </c>
      <c r="O200" s="19">
        <f t="shared" si="7"/>
        <v>1</v>
      </c>
    </row>
    <row r="201" spans="1:15" x14ac:dyDescent="0.25">
      <c r="A201" s="39"/>
      <c r="B201" s="42"/>
      <c r="C201" s="10" t="s">
        <v>1412</v>
      </c>
      <c r="D201" s="10" t="s">
        <v>271</v>
      </c>
      <c r="E201" s="11">
        <f t="shared" si="6"/>
        <v>2</v>
      </c>
      <c r="F201" s="10">
        <v>52.44</v>
      </c>
      <c r="G201" s="10">
        <v>4</v>
      </c>
      <c r="H201" s="10">
        <v>15.79</v>
      </c>
      <c r="I201" s="10">
        <v>7.29</v>
      </c>
      <c r="J201" s="10">
        <v>4.29</v>
      </c>
      <c r="K201" s="10">
        <v>2</v>
      </c>
      <c r="L201" s="10">
        <v>8</v>
      </c>
      <c r="M201" s="10">
        <v>-0.5</v>
      </c>
      <c r="N201" s="10">
        <v>-3.5</v>
      </c>
      <c r="O201" s="20">
        <f t="shared" si="7"/>
        <v>1</v>
      </c>
    </row>
    <row r="202" spans="1:15" x14ac:dyDescent="0.25">
      <c r="A202" s="39"/>
      <c r="B202" s="40" t="s">
        <v>6</v>
      </c>
      <c r="C202" s="7" t="s">
        <v>1413</v>
      </c>
      <c r="D202" s="7" t="s">
        <v>1232</v>
      </c>
      <c r="E202" s="8">
        <f t="shared" si="6"/>
        <v>3</v>
      </c>
      <c r="F202" s="7">
        <v>78.66</v>
      </c>
      <c r="G202" s="7">
        <v>4</v>
      </c>
      <c r="H202" s="7">
        <v>23.68</v>
      </c>
      <c r="I202" s="7">
        <v>15.18</v>
      </c>
      <c r="J202" s="7">
        <v>12.18</v>
      </c>
      <c r="K202" s="7">
        <v>4</v>
      </c>
      <c r="L202" s="7">
        <v>12</v>
      </c>
      <c r="M202" s="7">
        <v>3.5</v>
      </c>
      <c r="N202" s="7">
        <v>0.5</v>
      </c>
      <c r="O202" s="18">
        <f t="shared" si="7"/>
        <v>0.75</v>
      </c>
    </row>
    <row r="203" spans="1:15" x14ac:dyDescent="0.25">
      <c r="A203" s="39"/>
      <c r="B203" s="41"/>
      <c r="C203" t="s">
        <v>1414</v>
      </c>
      <c r="D203" t="s">
        <v>1232</v>
      </c>
      <c r="E203" s="3">
        <f t="shared" si="6"/>
        <v>3</v>
      </c>
      <c r="F203">
        <v>76.709999999999994</v>
      </c>
      <c r="G203">
        <v>4</v>
      </c>
      <c r="H203">
        <v>23.09</v>
      </c>
      <c r="I203">
        <v>14.59</v>
      </c>
      <c r="J203">
        <v>11.59</v>
      </c>
      <c r="K203">
        <v>4</v>
      </c>
      <c r="L203">
        <v>12</v>
      </c>
      <c r="M203">
        <v>3.5</v>
      </c>
      <c r="N203">
        <v>0.5</v>
      </c>
      <c r="O203" s="19">
        <f t="shared" si="7"/>
        <v>0.75</v>
      </c>
    </row>
    <row r="204" spans="1:15" x14ac:dyDescent="0.25">
      <c r="A204" s="39"/>
      <c r="B204" s="41"/>
      <c r="C204" t="s">
        <v>1415</v>
      </c>
      <c r="D204" t="s">
        <v>1232</v>
      </c>
      <c r="E204" s="3">
        <f t="shared" si="6"/>
        <v>3</v>
      </c>
      <c r="F204">
        <v>78.66</v>
      </c>
      <c r="G204">
        <v>4</v>
      </c>
      <c r="H204">
        <v>23.68</v>
      </c>
      <c r="I204">
        <v>15.18</v>
      </c>
      <c r="J204">
        <v>12.18</v>
      </c>
      <c r="K204">
        <v>4</v>
      </c>
      <c r="L204">
        <v>12</v>
      </c>
      <c r="M204">
        <v>3.5</v>
      </c>
      <c r="N204">
        <v>0.5</v>
      </c>
      <c r="O204" s="19">
        <f t="shared" si="7"/>
        <v>0.75</v>
      </c>
    </row>
    <row r="205" spans="1:15" x14ac:dyDescent="0.25">
      <c r="A205" s="39"/>
      <c r="B205" s="41"/>
      <c r="C205" t="s">
        <v>1416</v>
      </c>
      <c r="D205" t="s">
        <v>1232</v>
      </c>
      <c r="E205" s="3">
        <f t="shared" si="6"/>
        <v>3</v>
      </c>
      <c r="F205">
        <v>78.66</v>
      </c>
      <c r="G205">
        <v>4</v>
      </c>
      <c r="H205">
        <v>23.68</v>
      </c>
      <c r="I205">
        <v>15.18</v>
      </c>
      <c r="J205">
        <v>12.18</v>
      </c>
      <c r="K205">
        <v>4</v>
      </c>
      <c r="L205">
        <v>12</v>
      </c>
      <c r="M205">
        <v>3.5</v>
      </c>
      <c r="N205">
        <v>0.5</v>
      </c>
      <c r="O205" s="19">
        <f t="shared" si="7"/>
        <v>0.75</v>
      </c>
    </row>
    <row r="206" spans="1:15" x14ac:dyDescent="0.25">
      <c r="A206" s="39"/>
      <c r="B206" s="41"/>
      <c r="C206" t="s">
        <v>1417</v>
      </c>
      <c r="D206" t="s">
        <v>1232</v>
      </c>
      <c r="E206" s="3">
        <f t="shared" si="6"/>
        <v>3</v>
      </c>
      <c r="F206">
        <v>76.709999999999994</v>
      </c>
      <c r="G206">
        <v>4</v>
      </c>
      <c r="H206">
        <v>23.09</v>
      </c>
      <c r="I206">
        <v>14.59</v>
      </c>
      <c r="J206">
        <v>11.59</v>
      </c>
      <c r="K206">
        <v>4</v>
      </c>
      <c r="L206">
        <v>12</v>
      </c>
      <c r="M206">
        <v>3.5</v>
      </c>
      <c r="N206">
        <v>0.5</v>
      </c>
      <c r="O206" s="19">
        <f t="shared" si="7"/>
        <v>0.75</v>
      </c>
    </row>
    <row r="207" spans="1:15" x14ac:dyDescent="0.25">
      <c r="A207" s="39"/>
      <c r="B207" s="41"/>
      <c r="C207" t="s">
        <v>1418</v>
      </c>
      <c r="D207" t="s">
        <v>1232</v>
      </c>
      <c r="E207" s="3">
        <f t="shared" si="6"/>
        <v>3</v>
      </c>
      <c r="F207">
        <v>76.709999999999994</v>
      </c>
      <c r="G207">
        <v>4</v>
      </c>
      <c r="H207">
        <v>23.09</v>
      </c>
      <c r="I207">
        <v>14.59</v>
      </c>
      <c r="J207">
        <v>11.59</v>
      </c>
      <c r="K207">
        <v>4</v>
      </c>
      <c r="L207">
        <v>12</v>
      </c>
      <c r="M207">
        <v>3.5</v>
      </c>
      <c r="N207">
        <v>0.5</v>
      </c>
      <c r="O207" s="19">
        <f t="shared" si="7"/>
        <v>0.75</v>
      </c>
    </row>
    <row r="208" spans="1:15" x14ac:dyDescent="0.25">
      <c r="A208" s="39"/>
      <c r="B208" s="41"/>
      <c r="C208" t="s">
        <v>1419</v>
      </c>
      <c r="D208" t="s">
        <v>1232</v>
      </c>
      <c r="E208" s="3">
        <f t="shared" si="6"/>
        <v>3</v>
      </c>
      <c r="F208">
        <v>71.45</v>
      </c>
      <c r="G208">
        <v>4</v>
      </c>
      <c r="H208">
        <v>21.51</v>
      </c>
      <c r="I208">
        <v>13.01</v>
      </c>
      <c r="J208">
        <v>10.01</v>
      </c>
      <c r="K208">
        <v>4</v>
      </c>
      <c r="L208">
        <v>12</v>
      </c>
      <c r="M208">
        <v>3.5</v>
      </c>
      <c r="N208">
        <v>0.5</v>
      </c>
      <c r="O208" s="19">
        <f t="shared" si="7"/>
        <v>0.75</v>
      </c>
    </row>
    <row r="209" spans="1:15" x14ac:dyDescent="0.25">
      <c r="A209" s="39"/>
      <c r="B209" s="41"/>
      <c r="C209" t="s">
        <v>1420</v>
      </c>
      <c r="D209" t="s">
        <v>1232</v>
      </c>
      <c r="E209" s="3">
        <f t="shared" si="6"/>
        <v>3</v>
      </c>
      <c r="F209">
        <v>78.66</v>
      </c>
      <c r="G209">
        <v>4</v>
      </c>
      <c r="H209">
        <v>23.68</v>
      </c>
      <c r="I209">
        <v>15.18</v>
      </c>
      <c r="J209">
        <v>12.18</v>
      </c>
      <c r="K209">
        <v>4</v>
      </c>
      <c r="L209">
        <v>12</v>
      </c>
      <c r="M209">
        <v>3.5</v>
      </c>
      <c r="N209">
        <v>0.5</v>
      </c>
      <c r="O209" s="19">
        <f t="shared" si="7"/>
        <v>0.75</v>
      </c>
    </row>
    <row r="210" spans="1:15" x14ac:dyDescent="0.25">
      <c r="A210" s="39"/>
      <c r="B210" s="41"/>
      <c r="C210" t="s">
        <v>1421</v>
      </c>
      <c r="D210" t="s">
        <v>1232</v>
      </c>
      <c r="E210" s="3">
        <f t="shared" si="6"/>
        <v>3</v>
      </c>
      <c r="F210">
        <v>78.66</v>
      </c>
      <c r="G210">
        <v>4</v>
      </c>
      <c r="H210">
        <v>23.68</v>
      </c>
      <c r="I210">
        <v>15.18</v>
      </c>
      <c r="J210">
        <v>12.18</v>
      </c>
      <c r="K210">
        <v>4</v>
      </c>
      <c r="L210">
        <v>12</v>
      </c>
      <c r="M210">
        <v>3.5</v>
      </c>
      <c r="N210">
        <v>0.5</v>
      </c>
      <c r="O210" s="19">
        <f t="shared" si="7"/>
        <v>0.75</v>
      </c>
    </row>
    <row r="211" spans="1:15" x14ac:dyDescent="0.25">
      <c r="A211" s="39"/>
      <c r="B211" s="41"/>
      <c r="C211" t="s">
        <v>1422</v>
      </c>
      <c r="D211" t="s">
        <v>1232</v>
      </c>
      <c r="E211" s="3">
        <f t="shared" si="6"/>
        <v>3</v>
      </c>
      <c r="F211">
        <v>71.45</v>
      </c>
      <c r="G211">
        <v>4</v>
      </c>
      <c r="H211">
        <v>21.51</v>
      </c>
      <c r="I211">
        <v>13.01</v>
      </c>
      <c r="J211">
        <v>10.01</v>
      </c>
      <c r="K211">
        <v>4</v>
      </c>
      <c r="L211">
        <v>12</v>
      </c>
      <c r="M211">
        <v>3.5</v>
      </c>
      <c r="N211">
        <v>0.5</v>
      </c>
      <c r="O211" s="19">
        <f t="shared" si="7"/>
        <v>0.75</v>
      </c>
    </row>
    <row r="212" spans="1:15" x14ac:dyDescent="0.25">
      <c r="A212" s="39"/>
      <c r="B212" s="41"/>
      <c r="C212" t="s">
        <v>1423</v>
      </c>
      <c r="D212" t="s">
        <v>1232</v>
      </c>
      <c r="E212" s="3">
        <f t="shared" si="6"/>
        <v>3</v>
      </c>
      <c r="F212">
        <v>78.66</v>
      </c>
      <c r="G212">
        <v>4</v>
      </c>
      <c r="H212">
        <v>23.68</v>
      </c>
      <c r="I212">
        <v>15.18</v>
      </c>
      <c r="J212">
        <v>12.18</v>
      </c>
      <c r="K212">
        <v>4</v>
      </c>
      <c r="L212">
        <v>12</v>
      </c>
      <c r="M212">
        <v>3.5</v>
      </c>
      <c r="N212">
        <v>0.5</v>
      </c>
      <c r="O212" s="19">
        <f t="shared" si="7"/>
        <v>0.75</v>
      </c>
    </row>
    <row r="213" spans="1:15" x14ac:dyDescent="0.25">
      <c r="A213" s="39"/>
      <c r="B213" s="41"/>
      <c r="C213" t="s">
        <v>1424</v>
      </c>
      <c r="D213" t="s">
        <v>1232</v>
      </c>
      <c r="E213" s="3">
        <f t="shared" si="6"/>
        <v>3</v>
      </c>
      <c r="F213">
        <v>78.66</v>
      </c>
      <c r="G213">
        <v>4</v>
      </c>
      <c r="H213">
        <v>23.68</v>
      </c>
      <c r="I213">
        <v>15.18</v>
      </c>
      <c r="J213">
        <v>12.18</v>
      </c>
      <c r="K213">
        <v>4</v>
      </c>
      <c r="L213">
        <v>12</v>
      </c>
      <c r="M213">
        <v>3.5</v>
      </c>
      <c r="N213">
        <v>0.5</v>
      </c>
      <c r="O213" s="19">
        <f t="shared" si="7"/>
        <v>0.75</v>
      </c>
    </row>
    <row r="214" spans="1:15" x14ac:dyDescent="0.25">
      <c r="A214" s="39"/>
      <c r="B214" s="41"/>
      <c r="C214" t="s">
        <v>1425</v>
      </c>
      <c r="D214" t="s">
        <v>1232</v>
      </c>
      <c r="E214" s="3">
        <f t="shared" si="6"/>
        <v>3</v>
      </c>
      <c r="F214">
        <v>71.45</v>
      </c>
      <c r="G214">
        <v>4</v>
      </c>
      <c r="H214">
        <v>21.51</v>
      </c>
      <c r="I214">
        <v>13.01</v>
      </c>
      <c r="J214">
        <v>10.01</v>
      </c>
      <c r="K214">
        <v>4</v>
      </c>
      <c r="L214">
        <v>12</v>
      </c>
      <c r="M214">
        <v>3.5</v>
      </c>
      <c r="N214">
        <v>0.5</v>
      </c>
      <c r="O214" s="19">
        <f t="shared" si="7"/>
        <v>0.75</v>
      </c>
    </row>
    <row r="215" spans="1:15" x14ac:dyDescent="0.25">
      <c r="A215" s="39"/>
      <c r="B215" s="41"/>
      <c r="C215" t="s">
        <v>1426</v>
      </c>
      <c r="D215" t="s">
        <v>1232</v>
      </c>
      <c r="E215" s="3">
        <f t="shared" si="6"/>
        <v>3</v>
      </c>
      <c r="F215">
        <v>71.45</v>
      </c>
      <c r="G215">
        <v>4</v>
      </c>
      <c r="H215">
        <v>21.51</v>
      </c>
      <c r="I215">
        <v>13.01</v>
      </c>
      <c r="J215">
        <v>10.01</v>
      </c>
      <c r="K215">
        <v>4</v>
      </c>
      <c r="L215">
        <v>12</v>
      </c>
      <c r="M215">
        <v>3.5</v>
      </c>
      <c r="N215">
        <v>0.5</v>
      </c>
      <c r="O215" s="19">
        <f t="shared" si="7"/>
        <v>0.75</v>
      </c>
    </row>
    <row r="216" spans="1:15" x14ac:dyDescent="0.25">
      <c r="A216" s="39"/>
      <c r="B216" s="41"/>
      <c r="C216" t="s">
        <v>1427</v>
      </c>
      <c r="D216" t="s">
        <v>1232</v>
      </c>
      <c r="E216" s="3">
        <f t="shared" si="6"/>
        <v>3</v>
      </c>
      <c r="F216">
        <v>71.45</v>
      </c>
      <c r="G216">
        <v>4</v>
      </c>
      <c r="H216">
        <v>21.51</v>
      </c>
      <c r="I216">
        <v>13.01</v>
      </c>
      <c r="J216">
        <v>10.01</v>
      </c>
      <c r="K216">
        <v>4</v>
      </c>
      <c r="L216">
        <v>12</v>
      </c>
      <c r="M216">
        <v>3.5</v>
      </c>
      <c r="N216">
        <v>0.5</v>
      </c>
      <c r="O216" s="19">
        <f t="shared" si="7"/>
        <v>0.75</v>
      </c>
    </row>
    <row r="217" spans="1:15" x14ac:dyDescent="0.25">
      <c r="A217" s="39"/>
      <c r="B217" s="41"/>
      <c r="C217" t="s">
        <v>1428</v>
      </c>
      <c r="D217" t="s">
        <v>1232</v>
      </c>
      <c r="E217" s="3">
        <f t="shared" si="6"/>
        <v>3</v>
      </c>
      <c r="F217">
        <v>78.66</v>
      </c>
      <c r="G217">
        <v>4</v>
      </c>
      <c r="H217">
        <v>23.68</v>
      </c>
      <c r="I217">
        <v>15.18</v>
      </c>
      <c r="J217">
        <v>12.18</v>
      </c>
      <c r="K217">
        <v>4</v>
      </c>
      <c r="L217">
        <v>12</v>
      </c>
      <c r="M217">
        <v>3.5</v>
      </c>
      <c r="N217">
        <v>0.5</v>
      </c>
      <c r="O217" s="19">
        <f t="shared" si="7"/>
        <v>0.75</v>
      </c>
    </row>
    <row r="218" spans="1:15" x14ac:dyDescent="0.25">
      <c r="A218" s="39"/>
      <c r="B218" s="41"/>
      <c r="C218" t="s">
        <v>1429</v>
      </c>
      <c r="D218" t="s">
        <v>1232</v>
      </c>
      <c r="E218" s="3">
        <f t="shared" si="6"/>
        <v>3</v>
      </c>
      <c r="F218">
        <v>68.41</v>
      </c>
      <c r="G218">
        <v>4</v>
      </c>
      <c r="H218">
        <v>20.59</v>
      </c>
      <c r="I218">
        <v>12.09</v>
      </c>
      <c r="J218">
        <v>9.09</v>
      </c>
      <c r="K218">
        <v>4</v>
      </c>
      <c r="L218">
        <v>12</v>
      </c>
      <c r="M218">
        <v>3.5</v>
      </c>
      <c r="N218">
        <v>0.5</v>
      </c>
      <c r="O218" s="19">
        <f t="shared" si="7"/>
        <v>0.75</v>
      </c>
    </row>
    <row r="219" spans="1:15" x14ac:dyDescent="0.25">
      <c r="A219" s="39"/>
      <c r="B219" s="41"/>
      <c r="C219" t="s">
        <v>1430</v>
      </c>
      <c r="D219" t="s">
        <v>1232</v>
      </c>
      <c r="E219" s="3">
        <f t="shared" si="6"/>
        <v>3</v>
      </c>
      <c r="F219">
        <v>78.66</v>
      </c>
      <c r="G219">
        <v>4</v>
      </c>
      <c r="H219">
        <v>23.68</v>
      </c>
      <c r="I219">
        <v>15.18</v>
      </c>
      <c r="J219">
        <v>12.18</v>
      </c>
      <c r="K219">
        <v>4</v>
      </c>
      <c r="L219">
        <v>12</v>
      </c>
      <c r="M219">
        <v>3.5</v>
      </c>
      <c r="N219">
        <v>0.5</v>
      </c>
      <c r="O219" s="19">
        <f t="shared" si="7"/>
        <v>0.75</v>
      </c>
    </row>
    <row r="220" spans="1:15" x14ac:dyDescent="0.25">
      <c r="A220" s="39"/>
      <c r="B220" s="41"/>
      <c r="C220" t="s">
        <v>1431</v>
      </c>
      <c r="D220" t="s">
        <v>1232</v>
      </c>
      <c r="E220" s="3">
        <f t="shared" si="6"/>
        <v>3</v>
      </c>
      <c r="F220">
        <v>68.41</v>
      </c>
      <c r="G220">
        <v>4</v>
      </c>
      <c r="H220">
        <v>20.59</v>
      </c>
      <c r="I220">
        <v>12.09</v>
      </c>
      <c r="J220">
        <v>9.09</v>
      </c>
      <c r="K220">
        <v>4</v>
      </c>
      <c r="L220">
        <v>12</v>
      </c>
      <c r="M220">
        <v>3.5</v>
      </c>
      <c r="N220">
        <v>0.5</v>
      </c>
      <c r="O220" s="19">
        <f t="shared" si="7"/>
        <v>0.75</v>
      </c>
    </row>
    <row r="221" spans="1:15" x14ac:dyDescent="0.25">
      <c r="A221" s="39"/>
      <c r="B221" s="42"/>
      <c r="C221" s="10" t="s">
        <v>1432</v>
      </c>
      <c r="D221" s="10" t="s">
        <v>1232</v>
      </c>
      <c r="E221" s="11">
        <f t="shared" si="6"/>
        <v>3</v>
      </c>
      <c r="F221" s="10">
        <v>78.66</v>
      </c>
      <c r="G221" s="10">
        <v>4</v>
      </c>
      <c r="H221" s="10">
        <v>23.68</v>
      </c>
      <c r="I221" s="10">
        <v>15.18</v>
      </c>
      <c r="J221" s="10">
        <v>12.18</v>
      </c>
      <c r="K221" s="10">
        <v>4</v>
      </c>
      <c r="L221" s="10">
        <v>12</v>
      </c>
      <c r="M221" s="10">
        <v>3.5</v>
      </c>
      <c r="N221" s="10">
        <v>0.5</v>
      </c>
      <c r="O221" s="20">
        <f t="shared" si="7"/>
        <v>0.75</v>
      </c>
    </row>
    <row r="222" spans="1:15" x14ac:dyDescent="0.25">
      <c r="A222" s="39"/>
      <c r="B222" s="40" t="s">
        <v>5</v>
      </c>
      <c r="C222" s="7" t="s">
        <v>1433</v>
      </c>
      <c r="D222" s="7" t="s">
        <v>181</v>
      </c>
      <c r="E222" s="8">
        <f t="shared" si="6"/>
        <v>4</v>
      </c>
      <c r="F222" s="7">
        <v>104.87</v>
      </c>
      <c r="G222" s="7">
        <v>4</v>
      </c>
      <c r="H222" s="7">
        <v>31.57</v>
      </c>
      <c r="I222" s="7">
        <v>23.07</v>
      </c>
      <c r="J222" s="7">
        <v>20.07</v>
      </c>
      <c r="K222" s="7">
        <v>4</v>
      </c>
      <c r="L222" s="7">
        <v>16</v>
      </c>
      <c r="M222" s="7">
        <v>7.5</v>
      </c>
      <c r="N222" s="7">
        <v>4.5</v>
      </c>
      <c r="O222" s="18">
        <f t="shared" si="7"/>
        <v>1</v>
      </c>
    </row>
    <row r="223" spans="1:15" x14ac:dyDescent="0.25">
      <c r="A223" s="39"/>
      <c r="B223" s="41"/>
      <c r="C223" t="s">
        <v>1434</v>
      </c>
      <c r="D223" t="s">
        <v>181</v>
      </c>
      <c r="E223" s="3">
        <f t="shared" si="6"/>
        <v>4</v>
      </c>
      <c r="F223">
        <v>104.87</v>
      </c>
      <c r="G223">
        <v>4</v>
      </c>
      <c r="H223">
        <v>31.57</v>
      </c>
      <c r="I223">
        <v>23.07</v>
      </c>
      <c r="J223">
        <v>20.07</v>
      </c>
      <c r="K223">
        <v>4</v>
      </c>
      <c r="L223">
        <v>16</v>
      </c>
      <c r="M223">
        <v>7.5</v>
      </c>
      <c r="N223">
        <v>4.5</v>
      </c>
      <c r="O223" s="19">
        <f t="shared" si="7"/>
        <v>1</v>
      </c>
    </row>
    <row r="224" spans="1:15" x14ac:dyDescent="0.25">
      <c r="A224" s="39"/>
      <c r="B224" s="41"/>
      <c r="C224" t="s">
        <v>1435</v>
      </c>
      <c r="D224" t="s">
        <v>181</v>
      </c>
      <c r="E224" s="3">
        <f t="shared" si="6"/>
        <v>4</v>
      </c>
      <c r="F224">
        <v>104.87</v>
      </c>
      <c r="G224">
        <v>4</v>
      </c>
      <c r="H224">
        <v>31.57</v>
      </c>
      <c r="I224">
        <v>23.07</v>
      </c>
      <c r="J224">
        <v>20.07</v>
      </c>
      <c r="K224">
        <v>4</v>
      </c>
      <c r="L224">
        <v>16</v>
      </c>
      <c r="M224">
        <v>7.5</v>
      </c>
      <c r="N224">
        <v>4.5</v>
      </c>
      <c r="O224" s="19">
        <f t="shared" si="7"/>
        <v>1</v>
      </c>
    </row>
    <row r="225" spans="1:15" x14ac:dyDescent="0.25">
      <c r="A225" s="39"/>
      <c r="B225" s="41"/>
      <c r="C225" t="s">
        <v>1436</v>
      </c>
      <c r="D225" t="s">
        <v>181</v>
      </c>
      <c r="E225" s="3">
        <f t="shared" si="6"/>
        <v>4</v>
      </c>
      <c r="F225">
        <v>95.27</v>
      </c>
      <c r="G225">
        <v>4</v>
      </c>
      <c r="H225">
        <v>28.68</v>
      </c>
      <c r="I225">
        <v>20.18</v>
      </c>
      <c r="J225">
        <v>17.18</v>
      </c>
      <c r="K225">
        <v>4</v>
      </c>
      <c r="L225">
        <v>16</v>
      </c>
      <c r="M225">
        <v>7.5</v>
      </c>
      <c r="N225">
        <v>4.5</v>
      </c>
      <c r="O225" s="19">
        <f t="shared" si="7"/>
        <v>1</v>
      </c>
    </row>
    <row r="226" spans="1:15" x14ac:dyDescent="0.25">
      <c r="A226" s="39"/>
      <c r="B226" s="41"/>
      <c r="C226" t="s">
        <v>1437</v>
      </c>
      <c r="D226" t="s">
        <v>181</v>
      </c>
      <c r="E226" s="3">
        <f t="shared" si="6"/>
        <v>4</v>
      </c>
      <c r="F226">
        <v>104.87</v>
      </c>
      <c r="G226">
        <v>4</v>
      </c>
      <c r="H226">
        <v>31.57</v>
      </c>
      <c r="I226">
        <v>23.07</v>
      </c>
      <c r="J226">
        <v>20.07</v>
      </c>
      <c r="K226">
        <v>4</v>
      </c>
      <c r="L226">
        <v>16</v>
      </c>
      <c r="M226">
        <v>7.5</v>
      </c>
      <c r="N226">
        <v>4.5</v>
      </c>
      <c r="O226" s="19">
        <f t="shared" si="7"/>
        <v>1</v>
      </c>
    </row>
    <row r="227" spans="1:15" x14ac:dyDescent="0.25">
      <c r="A227" s="39"/>
      <c r="B227" s="41"/>
      <c r="C227" t="s">
        <v>1438</v>
      </c>
      <c r="D227" t="s">
        <v>181</v>
      </c>
      <c r="E227" s="3">
        <f t="shared" si="6"/>
        <v>4</v>
      </c>
      <c r="F227">
        <v>104.87</v>
      </c>
      <c r="G227">
        <v>4</v>
      </c>
      <c r="H227">
        <v>31.57</v>
      </c>
      <c r="I227">
        <v>23.07</v>
      </c>
      <c r="J227">
        <v>20.07</v>
      </c>
      <c r="K227">
        <v>4</v>
      </c>
      <c r="L227">
        <v>16</v>
      </c>
      <c r="M227">
        <v>7.5</v>
      </c>
      <c r="N227">
        <v>4.5</v>
      </c>
      <c r="O227" s="19">
        <f t="shared" si="7"/>
        <v>1</v>
      </c>
    </row>
    <row r="228" spans="1:15" x14ac:dyDescent="0.25">
      <c r="A228" s="39"/>
      <c r="B228" s="41"/>
      <c r="C228" t="s">
        <v>1439</v>
      </c>
      <c r="D228" t="s">
        <v>181</v>
      </c>
      <c r="E228" s="3">
        <f t="shared" si="6"/>
        <v>4</v>
      </c>
      <c r="F228">
        <v>104.87</v>
      </c>
      <c r="G228">
        <v>4</v>
      </c>
      <c r="H228">
        <v>31.57</v>
      </c>
      <c r="I228">
        <v>23.07</v>
      </c>
      <c r="J228">
        <v>20.07</v>
      </c>
      <c r="K228">
        <v>4</v>
      </c>
      <c r="L228">
        <v>16</v>
      </c>
      <c r="M228">
        <v>7.5</v>
      </c>
      <c r="N228">
        <v>4.5</v>
      </c>
      <c r="O228" s="19">
        <f t="shared" si="7"/>
        <v>1</v>
      </c>
    </row>
    <row r="229" spans="1:15" x14ac:dyDescent="0.25">
      <c r="A229" s="39"/>
      <c r="B229" s="41"/>
      <c r="C229" t="s">
        <v>1440</v>
      </c>
      <c r="D229" t="s">
        <v>181</v>
      </c>
      <c r="E229" s="3">
        <f t="shared" si="6"/>
        <v>4</v>
      </c>
      <c r="F229">
        <v>104.87</v>
      </c>
      <c r="G229">
        <v>4</v>
      </c>
      <c r="H229">
        <v>31.57</v>
      </c>
      <c r="I229">
        <v>23.07</v>
      </c>
      <c r="J229">
        <v>20.07</v>
      </c>
      <c r="K229">
        <v>4</v>
      </c>
      <c r="L229">
        <v>16</v>
      </c>
      <c r="M229">
        <v>7.5</v>
      </c>
      <c r="N229">
        <v>4.5</v>
      </c>
      <c r="O229" s="19">
        <f t="shared" si="7"/>
        <v>1</v>
      </c>
    </row>
    <row r="230" spans="1:15" x14ac:dyDescent="0.25">
      <c r="A230" s="39"/>
      <c r="B230" s="41"/>
      <c r="C230" t="s">
        <v>1441</v>
      </c>
      <c r="D230" t="s">
        <v>181</v>
      </c>
      <c r="E230" s="3">
        <f t="shared" si="6"/>
        <v>4</v>
      </c>
      <c r="F230">
        <v>95.27</v>
      </c>
      <c r="G230">
        <v>4</v>
      </c>
      <c r="H230">
        <v>28.68</v>
      </c>
      <c r="I230">
        <v>20.18</v>
      </c>
      <c r="J230">
        <v>17.18</v>
      </c>
      <c r="K230">
        <v>4</v>
      </c>
      <c r="L230">
        <v>16</v>
      </c>
      <c r="M230">
        <v>7.5</v>
      </c>
      <c r="N230">
        <v>4.5</v>
      </c>
      <c r="O230" s="19">
        <f t="shared" si="7"/>
        <v>1</v>
      </c>
    </row>
    <row r="231" spans="1:15" x14ac:dyDescent="0.25">
      <c r="A231" s="39"/>
      <c r="B231" s="41"/>
      <c r="C231" t="s">
        <v>1442</v>
      </c>
      <c r="D231" t="s">
        <v>181</v>
      </c>
      <c r="E231" s="3">
        <f t="shared" si="6"/>
        <v>4</v>
      </c>
      <c r="F231">
        <v>95.27</v>
      </c>
      <c r="G231">
        <v>4</v>
      </c>
      <c r="H231">
        <v>28.68</v>
      </c>
      <c r="I231">
        <v>20.18</v>
      </c>
      <c r="J231">
        <v>17.18</v>
      </c>
      <c r="K231">
        <v>4</v>
      </c>
      <c r="L231">
        <v>16</v>
      </c>
      <c r="M231">
        <v>7.5</v>
      </c>
      <c r="N231">
        <v>4.5</v>
      </c>
      <c r="O231" s="19">
        <f t="shared" si="7"/>
        <v>1</v>
      </c>
    </row>
    <row r="232" spans="1:15" x14ac:dyDescent="0.25">
      <c r="A232" s="39"/>
      <c r="B232" s="41"/>
      <c r="C232" t="s">
        <v>1443</v>
      </c>
      <c r="D232" t="s">
        <v>181</v>
      </c>
      <c r="E232" s="3">
        <f t="shared" si="6"/>
        <v>4</v>
      </c>
      <c r="F232">
        <v>104.87</v>
      </c>
      <c r="G232">
        <v>4</v>
      </c>
      <c r="H232">
        <v>31.57</v>
      </c>
      <c r="I232">
        <v>23.07</v>
      </c>
      <c r="J232">
        <v>20.07</v>
      </c>
      <c r="K232">
        <v>4</v>
      </c>
      <c r="L232">
        <v>16</v>
      </c>
      <c r="M232">
        <v>7.5</v>
      </c>
      <c r="N232">
        <v>4.5</v>
      </c>
      <c r="O232" s="19">
        <f t="shared" si="7"/>
        <v>1</v>
      </c>
    </row>
    <row r="233" spans="1:15" x14ac:dyDescent="0.25">
      <c r="A233" s="39"/>
      <c r="B233" s="41"/>
      <c r="C233" t="s">
        <v>1444</v>
      </c>
      <c r="D233" t="s">
        <v>181</v>
      </c>
      <c r="E233" s="3">
        <f t="shared" si="6"/>
        <v>4</v>
      </c>
      <c r="F233">
        <v>104.87</v>
      </c>
      <c r="G233">
        <v>4</v>
      </c>
      <c r="H233">
        <v>31.57</v>
      </c>
      <c r="I233">
        <v>23.07</v>
      </c>
      <c r="J233">
        <v>20.07</v>
      </c>
      <c r="K233">
        <v>4</v>
      </c>
      <c r="L233">
        <v>16</v>
      </c>
      <c r="M233">
        <v>7.5</v>
      </c>
      <c r="N233">
        <v>4.5</v>
      </c>
      <c r="O233" s="19">
        <f t="shared" si="7"/>
        <v>1</v>
      </c>
    </row>
    <row r="234" spans="1:15" x14ac:dyDescent="0.25">
      <c r="A234" s="39"/>
      <c r="B234" s="41"/>
      <c r="C234" t="s">
        <v>1445</v>
      </c>
      <c r="D234" t="s">
        <v>181</v>
      </c>
      <c r="E234" s="3">
        <f t="shared" si="6"/>
        <v>4</v>
      </c>
      <c r="F234">
        <v>104.87</v>
      </c>
      <c r="G234">
        <v>4</v>
      </c>
      <c r="H234">
        <v>31.57</v>
      </c>
      <c r="I234">
        <v>23.07</v>
      </c>
      <c r="J234">
        <v>20.07</v>
      </c>
      <c r="K234">
        <v>4</v>
      </c>
      <c r="L234">
        <v>16</v>
      </c>
      <c r="M234">
        <v>7.5</v>
      </c>
      <c r="N234">
        <v>4.5</v>
      </c>
      <c r="O234" s="19">
        <f t="shared" si="7"/>
        <v>1</v>
      </c>
    </row>
    <row r="235" spans="1:15" x14ac:dyDescent="0.25">
      <c r="A235" s="39"/>
      <c r="B235" s="41"/>
      <c r="C235" t="s">
        <v>1446</v>
      </c>
      <c r="D235" t="s">
        <v>181</v>
      </c>
      <c r="E235" s="3">
        <f t="shared" si="6"/>
        <v>4</v>
      </c>
      <c r="F235">
        <v>102.28</v>
      </c>
      <c r="G235">
        <v>4</v>
      </c>
      <c r="H235">
        <v>30.79</v>
      </c>
      <c r="I235">
        <v>22.29</v>
      </c>
      <c r="J235">
        <v>19.29</v>
      </c>
      <c r="K235">
        <v>4</v>
      </c>
      <c r="L235">
        <v>16</v>
      </c>
      <c r="M235">
        <v>7.5</v>
      </c>
      <c r="N235">
        <v>4.5</v>
      </c>
      <c r="O235" s="19">
        <f t="shared" si="7"/>
        <v>1</v>
      </c>
    </row>
    <row r="236" spans="1:15" x14ac:dyDescent="0.25">
      <c r="A236" s="39"/>
      <c r="B236" s="41"/>
      <c r="C236" t="s">
        <v>1447</v>
      </c>
      <c r="D236" t="s">
        <v>181</v>
      </c>
      <c r="E236" s="3">
        <f t="shared" si="6"/>
        <v>4</v>
      </c>
      <c r="F236">
        <v>104.87</v>
      </c>
      <c r="G236">
        <v>4</v>
      </c>
      <c r="H236">
        <v>31.57</v>
      </c>
      <c r="I236">
        <v>23.07</v>
      </c>
      <c r="J236">
        <v>20.07</v>
      </c>
      <c r="K236">
        <v>4</v>
      </c>
      <c r="L236">
        <v>16</v>
      </c>
      <c r="M236">
        <v>7.5</v>
      </c>
      <c r="N236">
        <v>4.5</v>
      </c>
      <c r="O236" s="19">
        <f t="shared" si="7"/>
        <v>1</v>
      </c>
    </row>
    <row r="237" spans="1:15" x14ac:dyDescent="0.25">
      <c r="A237" s="39"/>
      <c r="B237" s="41"/>
      <c r="C237" t="s">
        <v>1448</v>
      </c>
      <c r="D237" t="s">
        <v>181</v>
      </c>
      <c r="E237" s="3">
        <f t="shared" si="6"/>
        <v>4</v>
      </c>
      <c r="F237">
        <v>104.87</v>
      </c>
      <c r="G237">
        <v>4</v>
      </c>
      <c r="H237">
        <v>31.57</v>
      </c>
      <c r="I237">
        <v>23.07</v>
      </c>
      <c r="J237">
        <v>20.07</v>
      </c>
      <c r="K237">
        <v>4</v>
      </c>
      <c r="L237">
        <v>16</v>
      </c>
      <c r="M237">
        <v>7.5</v>
      </c>
      <c r="N237">
        <v>4.5</v>
      </c>
      <c r="O237" s="19">
        <f t="shared" si="7"/>
        <v>1</v>
      </c>
    </row>
    <row r="238" spans="1:15" x14ac:dyDescent="0.25">
      <c r="A238" s="39"/>
      <c r="B238" s="41"/>
      <c r="C238" t="s">
        <v>1448</v>
      </c>
      <c r="D238" t="s">
        <v>181</v>
      </c>
      <c r="E238" s="3">
        <f t="shared" si="6"/>
        <v>4</v>
      </c>
      <c r="F238">
        <v>104.87</v>
      </c>
      <c r="G238">
        <v>4</v>
      </c>
      <c r="H238">
        <v>31.57</v>
      </c>
      <c r="I238">
        <v>23.07</v>
      </c>
      <c r="J238">
        <v>20.07</v>
      </c>
      <c r="K238">
        <v>4</v>
      </c>
      <c r="L238">
        <v>16</v>
      </c>
      <c r="M238">
        <v>7.5</v>
      </c>
      <c r="N238">
        <v>4.5</v>
      </c>
      <c r="O238" s="19">
        <f t="shared" si="7"/>
        <v>1</v>
      </c>
    </row>
    <row r="239" spans="1:15" x14ac:dyDescent="0.25">
      <c r="A239" s="39"/>
      <c r="B239" s="41"/>
      <c r="C239" t="s">
        <v>1449</v>
      </c>
      <c r="D239" t="s">
        <v>181</v>
      </c>
      <c r="E239" s="3">
        <f t="shared" si="6"/>
        <v>4</v>
      </c>
      <c r="F239">
        <v>104.87</v>
      </c>
      <c r="G239">
        <v>4</v>
      </c>
      <c r="H239">
        <v>31.57</v>
      </c>
      <c r="I239">
        <v>23.07</v>
      </c>
      <c r="J239">
        <v>20.07</v>
      </c>
      <c r="K239">
        <v>4</v>
      </c>
      <c r="L239">
        <v>16</v>
      </c>
      <c r="M239">
        <v>7.5</v>
      </c>
      <c r="N239">
        <v>4.5</v>
      </c>
      <c r="O239" s="19">
        <f t="shared" si="7"/>
        <v>1</v>
      </c>
    </row>
    <row r="240" spans="1:15" x14ac:dyDescent="0.25">
      <c r="A240" s="39"/>
      <c r="B240" s="41"/>
      <c r="C240" t="s">
        <v>1450</v>
      </c>
      <c r="D240" t="s">
        <v>181</v>
      </c>
      <c r="E240" s="3">
        <f t="shared" si="6"/>
        <v>4</v>
      </c>
      <c r="F240">
        <v>104.87</v>
      </c>
      <c r="G240">
        <v>4</v>
      </c>
      <c r="H240">
        <v>31.57</v>
      </c>
      <c r="I240">
        <v>23.07</v>
      </c>
      <c r="J240">
        <v>20.07</v>
      </c>
      <c r="K240">
        <v>4</v>
      </c>
      <c r="L240">
        <v>15.74</v>
      </c>
      <c r="M240">
        <v>7.24</v>
      </c>
      <c r="N240">
        <v>4.24</v>
      </c>
      <c r="O240" s="19">
        <f t="shared" si="7"/>
        <v>1</v>
      </c>
    </row>
    <row r="241" spans="1:15" x14ac:dyDescent="0.25">
      <c r="A241" s="39"/>
      <c r="B241" s="42"/>
      <c r="C241" s="10" t="s">
        <v>1451</v>
      </c>
      <c r="D241" s="10" t="s">
        <v>181</v>
      </c>
      <c r="E241" s="11">
        <f t="shared" si="6"/>
        <v>4</v>
      </c>
      <c r="F241" s="10">
        <v>104.87</v>
      </c>
      <c r="G241" s="10">
        <v>4</v>
      </c>
      <c r="H241" s="10">
        <v>31.57</v>
      </c>
      <c r="I241" s="10">
        <v>23.07</v>
      </c>
      <c r="J241" s="10">
        <v>20.07</v>
      </c>
      <c r="K241" s="10">
        <v>4</v>
      </c>
      <c r="L241" s="10">
        <v>16</v>
      </c>
      <c r="M241" s="10">
        <v>7.5</v>
      </c>
      <c r="N241" s="10">
        <v>4.5</v>
      </c>
      <c r="O241" s="20">
        <f t="shared" si="7"/>
        <v>1</v>
      </c>
    </row>
  </sheetData>
  <autoFilter ref="A1:O241" xr:uid="{82A6D2A5-830F-470C-9873-EA2672C4AB37}"/>
  <mergeCells count="280">
    <mergeCell ref="Q67:Q69"/>
    <mergeCell ref="Q64:Q66"/>
    <mergeCell ref="Q61:Q63"/>
    <mergeCell ref="Q70:Q72"/>
    <mergeCell ref="S70:T70"/>
    <mergeCell ref="U70:V70"/>
    <mergeCell ref="W70:X70"/>
    <mergeCell ref="S71:T71"/>
    <mergeCell ref="U71:V71"/>
    <mergeCell ref="W71:X71"/>
    <mergeCell ref="S72:T72"/>
    <mergeCell ref="U72:V72"/>
    <mergeCell ref="W72:X72"/>
    <mergeCell ref="U103:V103"/>
    <mergeCell ref="W103:X103"/>
    <mergeCell ref="S104:T104"/>
    <mergeCell ref="U104:V104"/>
    <mergeCell ref="W104:X104"/>
    <mergeCell ref="S65:T65"/>
    <mergeCell ref="U65:V65"/>
    <mergeCell ref="W65:X65"/>
    <mergeCell ref="S66:T66"/>
    <mergeCell ref="U66:V66"/>
    <mergeCell ref="W66:X66"/>
    <mergeCell ref="S67:T67"/>
    <mergeCell ref="U67:V67"/>
    <mergeCell ref="W67:X67"/>
    <mergeCell ref="S68:T68"/>
    <mergeCell ref="U68:V68"/>
    <mergeCell ref="W68:X68"/>
    <mergeCell ref="S69:T69"/>
    <mergeCell ref="U69:V69"/>
    <mergeCell ref="S63:T63"/>
    <mergeCell ref="U63:V63"/>
    <mergeCell ref="A182:A241"/>
    <mergeCell ref="B182:B201"/>
    <mergeCell ref="B202:B221"/>
    <mergeCell ref="B222:B241"/>
    <mergeCell ref="A2:A61"/>
    <mergeCell ref="B2:B21"/>
    <mergeCell ref="B22:B41"/>
    <mergeCell ref="B42:B61"/>
    <mergeCell ref="A62:A121"/>
    <mergeCell ref="B62:B81"/>
    <mergeCell ref="B82:B101"/>
    <mergeCell ref="B102:B121"/>
    <mergeCell ref="R7:X7"/>
    <mergeCell ref="S8:T8"/>
    <mergeCell ref="U8:V8"/>
    <mergeCell ref="W8:X8"/>
    <mergeCell ref="S9:T9"/>
    <mergeCell ref="U9:V9"/>
    <mergeCell ref="W9:X9"/>
    <mergeCell ref="A122:A181"/>
    <mergeCell ref="B122:B141"/>
    <mergeCell ref="B142:B161"/>
    <mergeCell ref="B162:B181"/>
    <mergeCell ref="S64:T64"/>
    <mergeCell ref="U64:V64"/>
    <mergeCell ref="W64:X64"/>
    <mergeCell ref="S12:T12"/>
    <mergeCell ref="U12:V12"/>
    <mergeCell ref="W12:X12"/>
    <mergeCell ref="S13:T13"/>
    <mergeCell ref="U13:V13"/>
    <mergeCell ref="W13:X13"/>
    <mergeCell ref="S10:T10"/>
    <mergeCell ref="U10:V10"/>
    <mergeCell ref="W10:X10"/>
    <mergeCell ref="S11:T11"/>
    <mergeCell ref="S43:T43"/>
    <mergeCell ref="U43:V43"/>
    <mergeCell ref="U11:V11"/>
    <mergeCell ref="W11:X11"/>
    <mergeCell ref="S16:T16"/>
    <mergeCell ref="U16:V16"/>
    <mergeCell ref="W16:X16"/>
    <mergeCell ref="S17:T17"/>
    <mergeCell ref="U17:V17"/>
    <mergeCell ref="W17:X17"/>
    <mergeCell ref="S14:T14"/>
    <mergeCell ref="U14:V14"/>
    <mergeCell ref="W14:X14"/>
    <mergeCell ref="S15:T15"/>
    <mergeCell ref="U15:V15"/>
    <mergeCell ref="W15:X15"/>
    <mergeCell ref="U31:V31"/>
    <mergeCell ref="W31:X31"/>
    <mergeCell ref="S28:T28"/>
    <mergeCell ref="U28:V28"/>
    <mergeCell ref="W28:X28"/>
    <mergeCell ref="S29:T29"/>
    <mergeCell ref="U29:V29"/>
    <mergeCell ref="W29:X29"/>
    <mergeCell ref="S42:T42"/>
    <mergeCell ref="U42:V42"/>
    <mergeCell ref="W42:X42"/>
    <mergeCell ref="S49:T49"/>
    <mergeCell ref="U49:V49"/>
    <mergeCell ref="W49:X49"/>
    <mergeCell ref="R46:X46"/>
    <mergeCell ref="S44:T44"/>
    <mergeCell ref="U44:V44"/>
    <mergeCell ref="W44:X44"/>
    <mergeCell ref="S52:T52"/>
    <mergeCell ref="U52:V52"/>
    <mergeCell ref="W52:X52"/>
    <mergeCell ref="S48:T48"/>
    <mergeCell ref="U48:V48"/>
    <mergeCell ref="W48:X48"/>
    <mergeCell ref="S60:T60"/>
    <mergeCell ref="U60:V60"/>
    <mergeCell ref="W60:X60"/>
    <mergeCell ref="S61:T61"/>
    <mergeCell ref="U61:V61"/>
    <mergeCell ref="W61:X61"/>
    <mergeCell ref="S62:T62"/>
    <mergeCell ref="U62:V62"/>
    <mergeCell ref="W62:X62"/>
    <mergeCell ref="W63:X63"/>
    <mergeCell ref="W69:X69"/>
    <mergeCell ref="S77:T77"/>
    <mergeCell ref="U77:V77"/>
    <mergeCell ref="W77:X77"/>
    <mergeCell ref="S100:T100"/>
    <mergeCell ref="U100:V100"/>
    <mergeCell ref="W100:X100"/>
    <mergeCell ref="S101:T101"/>
    <mergeCell ref="U101:V101"/>
    <mergeCell ref="W101:X101"/>
    <mergeCell ref="W88:X88"/>
    <mergeCell ref="S89:T89"/>
    <mergeCell ref="U89:V89"/>
    <mergeCell ref="W89:X89"/>
    <mergeCell ref="U91:V91"/>
    <mergeCell ref="W91:X91"/>
    <mergeCell ref="S78:T78"/>
    <mergeCell ref="U78:V78"/>
    <mergeCell ref="W78:X78"/>
    <mergeCell ref="S79:T79"/>
    <mergeCell ref="U79:V79"/>
    <mergeCell ref="W79:X79"/>
    <mergeCell ref="S93:T93"/>
    <mergeCell ref="S102:T102"/>
    <mergeCell ref="U102:V102"/>
    <mergeCell ref="W102:X102"/>
    <mergeCell ref="S103:T103"/>
    <mergeCell ref="S74:T74"/>
    <mergeCell ref="U74:V74"/>
    <mergeCell ref="W74:X74"/>
    <mergeCell ref="S75:T75"/>
    <mergeCell ref="U75:V75"/>
    <mergeCell ref="W75:X75"/>
    <mergeCell ref="S76:T76"/>
    <mergeCell ref="U76:V76"/>
    <mergeCell ref="W76:X76"/>
    <mergeCell ref="S94:T94"/>
    <mergeCell ref="U94:V94"/>
    <mergeCell ref="W94:X94"/>
    <mergeCell ref="S95:T95"/>
    <mergeCell ref="U95:V95"/>
    <mergeCell ref="W95:X95"/>
    <mergeCell ref="S87:T87"/>
    <mergeCell ref="U87:V87"/>
    <mergeCell ref="W87:X87"/>
    <mergeCell ref="S88:T88"/>
    <mergeCell ref="U88:V88"/>
    <mergeCell ref="S80:T80"/>
    <mergeCell ref="W85:X85"/>
    <mergeCell ref="S86:T86"/>
    <mergeCell ref="U86:V86"/>
    <mergeCell ref="W86:X86"/>
    <mergeCell ref="S84:T84"/>
    <mergeCell ref="U84:V84"/>
    <mergeCell ref="W84:X84"/>
    <mergeCell ref="U93:V93"/>
    <mergeCell ref="W93:X93"/>
    <mergeCell ref="S81:T81"/>
    <mergeCell ref="U81:V81"/>
    <mergeCell ref="W81:X81"/>
    <mergeCell ref="S82:T82"/>
    <mergeCell ref="U82:V82"/>
    <mergeCell ref="W82:X82"/>
    <mergeCell ref="S83:T83"/>
    <mergeCell ref="U83:V83"/>
    <mergeCell ref="W83:X83"/>
    <mergeCell ref="Q75:Q80"/>
    <mergeCell ref="Q81:Q86"/>
    <mergeCell ref="Q87:Q92"/>
    <mergeCell ref="Q93:Q98"/>
    <mergeCell ref="S97:T97"/>
    <mergeCell ref="U97:V97"/>
    <mergeCell ref="W97:X97"/>
    <mergeCell ref="S98:T98"/>
    <mergeCell ref="U98:V98"/>
    <mergeCell ref="W98:X98"/>
    <mergeCell ref="S92:T92"/>
    <mergeCell ref="U92:V92"/>
    <mergeCell ref="W92:X92"/>
    <mergeCell ref="S96:T96"/>
    <mergeCell ref="U96:V96"/>
    <mergeCell ref="W96:X96"/>
    <mergeCell ref="S90:T90"/>
    <mergeCell ref="U90:V90"/>
    <mergeCell ref="W90:X90"/>
    <mergeCell ref="S91:T91"/>
    <mergeCell ref="S85:T85"/>
    <mergeCell ref="U85:V85"/>
    <mergeCell ref="W80:X80"/>
    <mergeCell ref="U80:V80"/>
    <mergeCell ref="U22:V22"/>
    <mergeCell ref="U23:V23"/>
    <mergeCell ref="U30:V30"/>
    <mergeCell ref="S18:T18"/>
    <mergeCell ref="U18:V18"/>
    <mergeCell ref="W18:X18"/>
    <mergeCell ref="R20:X20"/>
    <mergeCell ref="S22:T22"/>
    <mergeCell ref="W22:X22"/>
    <mergeCell ref="S24:T24"/>
    <mergeCell ref="U24:V24"/>
    <mergeCell ref="W24:X24"/>
    <mergeCell ref="S25:T25"/>
    <mergeCell ref="U25:V25"/>
    <mergeCell ref="W25:X25"/>
    <mergeCell ref="S26:T26"/>
    <mergeCell ref="U26:V26"/>
    <mergeCell ref="W26:X26"/>
    <mergeCell ref="S27:T27"/>
    <mergeCell ref="U27:V27"/>
    <mergeCell ref="W27:X27"/>
    <mergeCell ref="W30:X30"/>
    <mergeCell ref="W23:X23"/>
    <mergeCell ref="S23:T23"/>
    <mergeCell ref="S30:T30"/>
    <mergeCell ref="S40:T40"/>
    <mergeCell ref="U40:V40"/>
    <mergeCell ref="W40:X40"/>
    <mergeCell ref="S41:T41"/>
    <mergeCell ref="U41:V41"/>
    <mergeCell ref="W41:X41"/>
    <mergeCell ref="S38:T38"/>
    <mergeCell ref="U38:V38"/>
    <mergeCell ref="W38:X38"/>
    <mergeCell ref="S39:T39"/>
    <mergeCell ref="U39:V39"/>
    <mergeCell ref="W39:X39"/>
    <mergeCell ref="S36:T36"/>
    <mergeCell ref="U36:V36"/>
    <mergeCell ref="W36:X36"/>
    <mergeCell ref="S37:T37"/>
    <mergeCell ref="U37:V37"/>
    <mergeCell ref="W37:X37"/>
    <mergeCell ref="S35:T35"/>
    <mergeCell ref="U35:V35"/>
    <mergeCell ref="S31:T31"/>
    <mergeCell ref="W35:X35"/>
    <mergeCell ref="R33:X33"/>
    <mergeCell ref="S56:T56"/>
    <mergeCell ref="U56:V56"/>
    <mergeCell ref="W56:X56"/>
    <mergeCell ref="S57:T57"/>
    <mergeCell ref="U57:V57"/>
    <mergeCell ref="W57:X57"/>
    <mergeCell ref="S54:T54"/>
    <mergeCell ref="U54:V54"/>
    <mergeCell ref="W54:X54"/>
    <mergeCell ref="S55:T55"/>
    <mergeCell ref="U55:V55"/>
    <mergeCell ref="W55:X55"/>
    <mergeCell ref="W43:X43"/>
    <mergeCell ref="S53:T53"/>
    <mergeCell ref="U53:V53"/>
    <mergeCell ref="W53:X53"/>
    <mergeCell ref="S50:T50"/>
    <mergeCell ref="U50:V50"/>
    <mergeCell ref="W50:X50"/>
    <mergeCell ref="S51:T51"/>
    <mergeCell ref="U51:V51"/>
    <mergeCell ref="W51:X51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1"/>
  <sheetViews>
    <sheetView showGridLines="0" zoomScale="95" zoomScaleNormal="95" workbookViewId="0"/>
  </sheetViews>
  <sheetFormatPr defaultRowHeight="15" x14ac:dyDescent="0.25"/>
  <cols>
    <col min="2" max="2" width="4.140625" bestFit="1" customWidth="1"/>
    <col min="3" max="3" width="20.7109375" customWidth="1"/>
    <col min="4" max="4" width="9" bestFit="1" customWidth="1"/>
    <col min="5" max="5" width="9" customWidth="1"/>
    <col min="6" max="6" width="18.140625" bestFit="1" customWidth="1"/>
    <col min="7" max="7" width="12.7109375" customWidth="1"/>
    <col min="8" max="8" width="15" customWidth="1"/>
    <col min="9" max="9" width="14" customWidth="1"/>
    <col min="10" max="10" width="15.42578125" customWidth="1"/>
    <col min="11" max="11" width="12.7109375" bestFit="1" customWidth="1"/>
    <col min="12" max="12" width="15" customWidth="1"/>
    <col min="13" max="15" width="17.42578125" customWidth="1"/>
    <col min="18" max="18" width="15.85546875" bestFit="1" customWidth="1"/>
  </cols>
  <sheetData>
    <row r="1" spans="1:24" x14ac:dyDescent="0.25">
      <c r="C1" t="s">
        <v>8</v>
      </c>
      <c r="D1" t="s">
        <v>9</v>
      </c>
      <c r="E1" t="s">
        <v>1487</v>
      </c>
      <c r="F1" t="s">
        <v>1509</v>
      </c>
      <c r="G1" t="s">
        <v>1452</v>
      </c>
      <c r="H1" t="s">
        <v>1454</v>
      </c>
      <c r="I1" t="s">
        <v>1456</v>
      </c>
      <c r="J1" t="s">
        <v>1457</v>
      </c>
      <c r="K1" t="s">
        <v>1512</v>
      </c>
      <c r="L1" t="s">
        <v>1455</v>
      </c>
      <c r="M1" t="s">
        <v>1458</v>
      </c>
      <c r="N1" t="s">
        <v>1459</v>
      </c>
      <c r="O1" t="s">
        <v>1510</v>
      </c>
    </row>
    <row r="2" spans="1:24" x14ac:dyDescent="0.25">
      <c r="A2" s="39" t="s">
        <v>0</v>
      </c>
      <c r="B2" s="40" t="s">
        <v>4</v>
      </c>
      <c r="C2" s="7" t="s">
        <v>7</v>
      </c>
      <c r="D2" s="7" t="s">
        <v>271</v>
      </c>
      <c r="E2" s="8">
        <f>IF(D2="Muito Fraca", 1, IF(D2="Fraca", 2, IF(D2="Média", 3, 4)))</f>
        <v>2</v>
      </c>
      <c r="F2" s="7">
        <v>37.6</v>
      </c>
      <c r="G2" s="7">
        <v>4</v>
      </c>
      <c r="H2" s="7">
        <v>11.32</v>
      </c>
      <c r="I2" s="7">
        <v>2.82</v>
      </c>
      <c r="J2" s="7">
        <v>-0.18</v>
      </c>
      <c r="K2" s="7">
        <v>2</v>
      </c>
      <c r="L2" s="7">
        <v>7.25</v>
      </c>
      <c r="M2" s="7">
        <v>-1.25</v>
      </c>
      <c r="N2" s="7">
        <v>-4.25</v>
      </c>
      <c r="O2" s="18">
        <f>E2/K2</f>
        <v>1</v>
      </c>
    </row>
    <row r="3" spans="1:24" x14ac:dyDescent="0.25">
      <c r="A3" s="39"/>
      <c r="B3" s="41"/>
      <c r="C3" t="s">
        <v>10</v>
      </c>
      <c r="D3" t="s">
        <v>271</v>
      </c>
      <c r="E3" s="3">
        <f>IF(D3="Muito Fraca", 1, IF(D3="Fraca", 2, IF(D3="Média", 3, 4)))</f>
        <v>2</v>
      </c>
      <c r="F3">
        <v>37.6</v>
      </c>
      <c r="G3">
        <v>4</v>
      </c>
      <c r="H3">
        <v>11.32</v>
      </c>
      <c r="I3">
        <v>2.82</v>
      </c>
      <c r="J3">
        <v>-0.18</v>
      </c>
      <c r="K3">
        <v>2</v>
      </c>
      <c r="L3">
        <v>8</v>
      </c>
      <c r="M3">
        <v>-0.5</v>
      </c>
      <c r="N3">
        <v>-3.5</v>
      </c>
      <c r="O3" s="19">
        <f t="shared" ref="O3:O66" si="0">E3/K3</f>
        <v>1</v>
      </c>
    </row>
    <row r="4" spans="1:24" x14ac:dyDescent="0.25">
      <c r="A4" s="39"/>
      <c r="B4" s="41"/>
      <c r="C4" t="s">
        <v>11</v>
      </c>
      <c r="D4" t="s">
        <v>271</v>
      </c>
      <c r="E4" s="3">
        <f t="shared" ref="E4:E67" si="1">IF(D4="Muito Fraca", 1, IF(D4="Fraca", 2, IF(D4="Média", 3, 4)))</f>
        <v>2</v>
      </c>
      <c r="F4">
        <v>37.6</v>
      </c>
      <c r="G4">
        <v>4</v>
      </c>
      <c r="H4">
        <v>11.32</v>
      </c>
      <c r="I4">
        <v>2.82</v>
      </c>
      <c r="J4">
        <v>-0.18</v>
      </c>
      <c r="K4">
        <v>2</v>
      </c>
      <c r="L4">
        <v>8</v>
      </c>
      <c r="M4">
        <v>-0.5</v>
      </c>
      <c r="N4">
        <v>-3.5</v>
      </c>
      <c r="O4" s="19">
        <f t="shared" si="0"/>
        <v>1</v>
      </c>
    </row>
    <row r="5" spans="1:24" x14ac:dyDescent="0.25">
      <c r="A5" s="39"/>
      <c r="B5" s="41"/>
      <c r="C5" t="s">
        <v>12</v>
      </c>
      <c r="D5" t="s">
        <v>271</v>
      </c>
      <c r="E5" s="3">
        <f t="shared" si="1"/>
        <v>2</v>
      </c>
      <c r="F5">
        <v>37.6</v>
      </c>
      <c r="G5">
        <v>4</v>
      </c>
      <c r="H5">
        <v>11.32</v>
      </c>
      <c r="I5">
        <v>2.82</v>
      </c>
      <c r="J5">
        <v>-0.18</v>
      </c>
      <c r="K5">
        <v>2</v>
      </c>
      <c r="L5">
        <v>8</v>
      </c>
      <c r="M5">
        <v>-0.5</v>
      </c>
      <c r="N5">
        <v>-3.5</v>
      </c>
      <c r="O5" s="19">
        <f t="shared" si="0"/>
        <v>1</v>
      </c>
    </row>
    <row r="6" spans="1:24" x14ac:dyDescent="0.25">
      <c r="A6" s="39"/>
      <c r="B6" s="41"/>
      <c r="C6" t="s">
        <v>13</v>
      </c>
      <c r="D6" t="s">
        <v>271</v>
      </c>
      <c r="E6" s="3">
        <f t="shared" si="1"/>
        <v>2</v>
      </c>
      <c r="F6">
        <v>37.6</v>
      </c>
      <c r="G6">
        <v>4</v>
      </c>
      <c r="H6">
        <v>11.32</v>
      </c>
      <c r="I6">
        <v>2.82</v>
      </c>
      <c r="J6">
        <v>-0.18</v>
      </c>
      <c r="K6">
        <v>2</v>
      </c>
      <c r="L6">
        <v>8</v>
      </c>
      <c r="M6">
        <v>-0.5</v>
      </c>
      <c r="N6">
        <v>-3.5</v>
      </c>
      <c r="O6" s="19">
        <f t="shared" si="0"/>
        <v>1</v>
      </c>
      <c r="R6" s="37" t="s">
        <v>0</v>
      </c>
      <c r="S6" s="38"/>
      <c r="T6" s="38"/>
      <c r="U6" s="38"/>
      <c r="V6" s="38"/>
      <c r="W6" s="38"/>
      <c r="X6" s="26"/>
    </row>
    <row r="7" spans="1:24" x14ac:dyDescent="0.25">
      <c r="A7" s="39"/>
      <c r="B7" s="41"/>
      <c r="C7" t="s">
        <v>14</v>
      </c>
      <c r="D7" t="s">
        <v>271</v>
      </c>
      <c r="E7" s="3">
        <f t="shared" si="1"/>
        <v>2</v>
      </c>
      <c r="F7">
        <v>37.6</v>
      </c>
      <c r="G7">
        <v>4</v>
      </c>
      <c r="H7">
        <v>11.32</v>
      </c>
      <c r="I7">
        <v>2.82</v>
      </c>
      <c r="J7">
        <v>-0.18</v>
      </c>
      <c r="K7">
        <v>2</v>
      </c>
      <c r="L7">
        <v>8</v>
      </c>
      <c r="M7">
        <v>-0.5</v>
      </c>
      <c r="N7">
        <v>-3.5</v>
      </c>
      <c r="O7" s="19">
        <f t="shared" si="0"/>
        <v>1</v>
      </c>
      <c r="R7" s="1"/>
      <c r="S7" s="30" t="s">
        <v>1460</v>
      </c>
      <c r="T7" s="30"/>
      <c r="U7" s="30" t="s">
        <v>1461</v>
      </c>
      <c r="V7" s="30"/>
      <c r="W7" s="30" t="s">
        <v>1462</v>
      </c>
      <c r="X7" s="30"/>
    </row>
    <row r="8" spans="1:24" x14ac:dyDescent="0.25">
      <c r="A8" s="39"/>
      <c r="B8" s="41"/>
      <c r="C8" t="s">
        <v>15</v>
      </c>
      <c r="D8" t="s">
        <v>271</v>
      </c>
      <c r="E8" s="3">
        <f t="shared" si="1"/>
        <v>2</v>
      </c>
      <c r="F8">
        <v>37.6</v>
      </c>
      <c r="G8">
        <v>4</v>
      </c>
      <c r="H8">
        <v>11.32</v>
      </c>
      <c r="I8">
        <v>2.82</v>
      </c>
      <c r="J8">
        <v>-0.18</v>
      </c>
      <c r="K8">
        <v>2</v>
      </c>
      <c r="L8">
        <v>8</v>
      </c>
      <c r="M8">
        <v>-0.5</v>
      </c>
      <c r="N8">
        <v>-3.5</v>
      </c>
      <c r="O8" s="19">
        <f t="shared" si="0"/>
        <v>1</v>
      </c>
      <c r="R8" s="1" t="s">
        <v>1488</v>
      </c>
      <c r="S8" s="35">
        <f>AVERAGE(E$2:E$21)</f>
        <v>2</v>
      </c>
      <c r="T8" s="36"/>
      <c r="U8" s="35">
        <f>AVERAGE(E$22:E$41)</f>
        <v>2</v>
      </c>
      <c r="V8" s="26"/>
      <c r="W8" s="35">
        <f>AVERAGE(E$42:E$61)</f>
        <v>2.5</v>
      </c>
      <c r="X8" s="26"/>
    </row>
    <row r="9" spans="1:24" x14ac:dyDescent="0.25">
      <c r="A9" s="39"/>
      <c r="B9" s="41"/>
      <c r="C9" t="s">
        <v>16</v>
      </c>
      <c r="D9" t="s">
        <v>271</v>
      </c>
      <c r="E9" s="3">
        <f t="shared" si="1"/>
        <v>2</v>
      </c>
      <c r="F9">
        <v>37.6</v>
      </c>
      <c r="G9">
        <v>4</v>
      </c>
      <c r="H9">
        <v>11.32</v>
      </c>
      <c r="I9">
        <v>2.82</v>
      </c>
      <c r="J9">
        <v>-0.18</v>
      </c>
      <c r="K9">
        <v>2</v>
      </c>
      <c r="L9">
        <v>8</v>
      </c>
      <c r="M9">
        <v>-0.5</v>
      </c>
      <c r="N9">
        <v>-3.5</v>
      </c>
      <c r="O9" s="19">
        <f t="shared" si="0"/>
        <v>1</v>
      </c>
      <c r="R9" s="1" t="s">
        <v>1463</v>
      </c>
      <c r="S9" s="35">
        <f>AVERAGE(G$2:G$21)</f>
        <v>4</v>
      </c>
      <c r="T9" s="26"/>
      <c r="U9" s="35">
        <f>AVERAGE(G$22:G$41)</f>
        <v>4</v>
      </c>
      <c r="V9" s="26"/>
      <c r="W9" s="35">
        <f>AVERAGE(G$42:G$61)</f>
        <v>4</v>
      </c>
      <c r="X9" s="26"/>
    </row>
    <row r="10" spans="1:24" x14ac:dyDescent="0.25">
      <c r="A10" s="39"/>
      <c r="B10" s="41"/>
      <c r="C10" t="s">
        <v>17</v>
      </c>
      <c r="D10" t="s">
        <v>271</v>
      </c>
      <c r="E10" s="3">
        <f t="shared" si="1"/>
        <v>2</v>
      </c>
      <c r="F10">
        <v>37.6</v>
      </c>
      <c r="G10">
        <v>4</v>
      </c>
      <c r="H10">
        <v>11.32</v>
      </c>
      <c r="I10">
        <v>2.82</v>
      </c>
      <c r="J10">
        <v>-0.18</v>
      </c>
      <c r="K10">
        <v>2</v>
      </c>
      <c r="L10">
        <v>8</v>
      </c>
      <c r="M10">
        <v>-0.5</v>
      </c>
      <c r="N10">
        <v>-3.5</v>
      </c>
      <c r="O10" s="19">
        <f t="shared" si="0"/>
        <v>1</v>
      </c>
      <c r="R10" s="1" t="s">
        <v>1464</v>
      </c>
      <c r="S10" s="24">
        <f>AVERAGE(H$2:H$21)</f>
        <v>11.319999999999997</v>
      </c>
      <c r="T10" s="26"/>
      <c r="U10" s="24">
        <f>AVERAGE(H$22:H$41)</f>
        <v>16.98</v>
      </c>
      <c r="V10" s="25"/>
      <c r="W10" s="24">
        <f>AVERAGE(H$42:H$61)</f>
        <v>22.639999999999993</v>
      </c>
      <c r="X10" s="25"/>
    </row>
    <row r="11" spans="1:24" x14ac:dyDescent="0.25">
      <c r="A11" s="39"/>
      <c r="B11" s="41"/>
      <c r="C11" t="s">
        <v>18</v>
      </c>
      <c r="D11" t="s">
        <v>271</v>
      </c>
      <c r="E11" s="3">
        <f t="shared" si="1"/>
        <v>2</v>
      </c>
      <c r="F11">
        <v>37.6</v>
      </c>
      <c r="G11">
        <v>4</v>
      </c>
      <c r="H11">
        <v>11.32</v>
      </c>
      <c r="I11">
        <v>2.82</v>
      </c>
      <c r="J11">
        <v>-0.18</v>
      </c>
      <c r="K11">
        <v>2</v>
      </c>
      <c r="L11">
        <v>8</v>
      </c>
      <c r="M11">
        <v>-0.5</v>
      </c>
      <c r="N11">
        <v>-3.5</v>
      </c>
      <c r="O11" s="19">
        <f t="shared" si="0"/>
        <v>1</v>
      </c>
      <c r="R11" s="1" t="s">
        <v>1465</v>
      </c>
      <c r="S11" s="24">
        <f>AVERAGE(I$2:I$21)</f>
        <v>2.82</v>
      </c>
      <c r="T11" s="26"/>
      <c r="U11" s="24">
        <f>AVERAGE(I$22:I$41)</f>
        <v>8.48</v>
      </c>
      <c r="V11" s="25"/>
      <c r="W11" s="24">
        <f>AVERAGE(I$42:I$61)</f>
        <v>14.139999999999995</v>
      </c>
      <c r="X11" s="25"/>
    </row>
    <row r="12" spans="1:24" x14ac:dyDescent="0.25">
      <c r="A12" s="39"/>
      <c r="B12" s="41"/>
      <c r="C12" t="s">
        <v>19</v>
      </c>
      <c r="D12" t="s">
        <v>271</v>
      </c>
      <c r="E12" s="3">
        <f t="shared" si="1"/>
        <v>2</v>
      </c>
      <c r="F12">
        <v>37.6</v>
      </c>
      <c r="G12">
        <v>4</v>
      </c>
      <c r="H12">
        <v>11.32</v>
      </c>
      <c r="I12">
        <v>2.82</v>
      </c>
      <c r="J12">
        <v>-0.18</v>
      </c>
      <c r="K12">
        <v>2</v>
      </c>
      <c r="L12">
        <v>8</v>
      </c>
      <c r="M12">
        <v>-0.5</v>
      </c>
      <c r="N12">
        <v>-3.5</v>
      </c>
      <c r="O12" s="19">
        <f t="shared" si="0"/>
        <v>1</v>
      </c>
      <c r="R12" s="1" t="s">
        <v>1466</v>
      </c>
      <c r="S12" s="24">
        <f>AVERAGE(J$2:J$21)</f>
        <v>-0.18000000000000005</v>
      </c>
      <c r="T12" s="26"/>
      <c r="U12" s="24">
        <f>AVERAGE(J$22:J$41)</f>
        <v>5.4800000000000022</v>
      </c>
      <c r="V12" s="25"/>
      <c r="W12" s="24">
        <f>AVERAGE(J$42:J$61)</f>
        <v>11.139999999999995</v>
      </c>
      <c r="X12" s="25"/>
    </row>
    <row r="13" spans="1:24" x14ac:dyDescent="0.25">
      <c r="A13" s="39"/>
      <c r="B13" s="41"/>
      <c r="C13" t="s">
        <v>20</v>
      </c>
      <c r="D13" t="s">
        <v>271</v>
      </c>
      <c r="E13" s="3">
        <f t="shared" si="1"/>
        <v>2</v>
      </c>
      <c r="F13">
        <v>37.6</v>
      </c>
      <c r="G13">
        <v>4</v>
      </c>
      <c r="H13">
        <v>11.32</v>
      </c>
      <c r="I13">
        <v>2.82</v>
      </c>
      <c r="J13">
        <v>-0.18</v>
      </c>
      <c r="K13">
        <v>2</v>
      </c>
      <c r="L13">
        <v>8</v>
      </c>
      <c r="M13">
        <v>-0.5</v>
      </c>
      <c r="N13">
        <v>-3.5</v>
      </c>
      <c r="O13" s="19">
        <f t="shared" si="0"/>
        <v>1</v>
      </c>
      <c r="R13" s="1" t="s">
        <v>1512</v>
      </c>
      <c r="S13" s="35">
        <f>AVERAGE(K$2:K$21)</f>
        <v>2</v>
      </c>
      <c r="T13" s="26"/>
      <c r="U13" s="35">
        <f>AVERAGE(K$22:K$41)</f>
        <v>4</v>
      </c>
      <c r="V13" s="26"/>
      <c r="W13" s="35">
        <f>AVERAGE(K$42:K$61)</f>
        <v>4</v>
      </c>
      <c r="X13" s="26"/>
    </row>
    <row r="14" spans="1:24" x14ac:dyDescent="0.25">
      <c r="A14" s="39"/>
      <c r="B14" s="41"/>
      <c r="C14" t="s">
        <v>21</v>
      </c>
      <c r="D14" t="s">
        <v>271</v>
      </c>
      <c r="E14" s="3">
        <f t="shared" si="1"/>
        <v>2</v>
      </c>
      <c r="F14">
        <v>37.6</v>
      </c>
      <c r="G14">
        <v>4</v>
      </c>
      <c r="H14">
        <v>11.32</v>
      </c>
      <c r="I14">
        <v>2.82</v>
      </c>
      <c r="J14">
        <v>-0.18</v>
      </c>
      <c r="K14">
        <v>2</v>
      </c>
      <c r="L14">
        <v>8</v>
      </c>
      <c r="M14">
        <v>-0.5</v>
      </c>
      <c r="N14">
        <v>-3.5</v>
      </c>
      <c r="O14" s="19">
        <f t="shared" si="0"/>
        <v>1</v>
      </c>
      <c r="R14" s="1" t="s">
        <v>1493</v>
      </c>
      <c r="S14" s="24">
        <f>AVERAGE(L$2:L$21)</f>
        <v>7.9349999999999996</v>
      </c>
      <c r="T14" s="25"/>
      <c r="U14" s="24">
        <f>AVERAGE(L$22:L$41)</f>
        <v>11.897</v>
      </c>
      <c r="V14" s="25"/>
      <c r="W14" s="24">
        <f>AVERAGE(L$42:L$61)</f>
        <v>15.9335</v>
      </c>
      <c r="X14" s="25"/>
    </row>
    <row r="15" spans="1:24" x14ac:dyDescent="0.25">
      <c r="A15" s="39"/>
      <c r="B15" s="41"/>
      <c r="C15" t="s">
        <v>22</v>
      </c>
      <c r="D15" t="s">
        <v>271</v>
      </c>
      <c r="E15" s="3">
        <f t="shared" si="1"/>
        <v>2</v>
      </c>
      <c r="F15">
        <v>37.6</v>
      </c>
      <c r="G15">
        <v>4</v>
      </c>
      <c r="H15">
        <v>11.32</v>
      </c>
      <c r="I15">
        <v>2.82</v>
      </c>
      <c r="J15">
        <v>-0.18</v>
      </c>
      <c r="K15">
        <v>2</v>
      </c>
      <c r="L15">
        <v>8</v>
      </c>
      <c r="M15">
        <v>-0.5</v>
      </c>
      <c r="N15">
        <v>-3.5</v>
      </c>
      <c r="O15" s="19">
        <f t="shared" si="0"/>
        <v>1</v>
      </c>
      <c r="R15" s="1" t="s">
        <v>1467</v>
      </c>
      <c r="S15" s="24">
        <f>AVERAGE(M$2:M$21)</f>
        <v>-0.56500000000000006</v>
      </c>
      <c r="T15" s="25"/>
      <c r="U15" s="24">
        <f>AVERAGE(M$22:M$41)</f>
        <v>3.3969999999999998</v>
      </c>
      <c r="V15" s="25"/>
      <c r="W15" s="24">
        <f>AVERAGE(M$42:M$61)</f>
        <v>7.4339999999999993</v>
      </c>
      <c r="X15" s="25"/>
    </row>
    <row r="16" spans="1:24" x14ac:dyDescent="0.25">
      <c r="A16" s="39"/>
      <c r="B16" s="41"/>
      <c r="C16" t="s">
        <v>23</v>
      </c>
      <c r="D16" t="s">
        <v>271</v>
      </c>
      <c r="E16" s="3">
        <f t="shared" si="1"/>
        <v>2</v>
      </c>
      <c r="F16">
        <v>37.6</v>
      </c>
      <c r="G16">
        <v>4</v>
      </c>
      <c r="H16">
        <v>11.32</v>
      </c>
      <c r="I16">
        <v>2.82</v>
      </c>
      <c r="J16">
        <v>-0.18</v>
      </c>
      <c r="K16">
        <v>2</v>
      </c>
      <c r="L16">
        <v>7.45</v>
      </c>
      <c r="M16">
        <v>-1.05</v>
      </c>
      <c r="N16">
        <v>-4.05</v>
      </c>
      <c r="O16" s="19">
        <f t="shared" si="0"/>
        <v>1</v>
      </c>
      <c r="R16" s="1" t="s">
        <v>1468</v>
      </c>
      <c r="S16" s="24">
        <f>AVERAGE(N$2:N$21)</f>
        <v>-3.5649999999999999</v>
      </c>
      <c r="T16" s="25"/>
      <c r="U16" s="24">
        <f>AVERAGE(N$22:N$41)</f>
        <v>0.39699999999999996</v>
      </c>
      <c r="V16" s="25"/>
      <c r="W16" s="24">
        <f>AVERAGE(N$42:N$61)</f>
        <v>4.4340000000000002</v>
      </c>
      <c r="X16" s="25"/>
    </row>
    <row r="17" spans="1:24" x14ac:dyDescent="0.25">
      <c r="A17" s="39"/>
      <c r="B17" s="41"/>
      <c r="C17" t="s">
        <v>24</v>
      </c>
      <c r="D17" t="s">
        <v>271</v>
      </c>
      <c r="E17" s="3">
        <f t="shared" si="1"/>
        <v>2</v>
      </c>
      <c r="F17">
        <v>37.6</v>
      </c>
      <c r="G17">
        <v>4</v>
      </c>
      <c r="H17">
        <v>11.32</v>
      </c>
      <c r="I17">
        <v>2.82</v>
      </c>
      <c r="J17">
        <v>-0.18</v>
      </c>
      <c r="K17">
        <v>2</v>
      </c>
      <c r="L17">
        <v>8</v>
      </c>
      <c r="M17">
        <v>-0.5</v>
      </c>
      <c r="N17">
        <v>-3.5</v>
      </c>
      <c r="O17" s="19">
        <f t="shared" si="0"/>
        <v>1</v>
      </c>
    </row>
    <row r="18" spans="1:24" x14ac:dyDescent="0.25">
      <c r="A18" s="39"/>
      <c r="B18" s="41"/>
      <c r="C18" t="s">
        <v>25</v>
      </c>
      <c r="D18" t="s">
        <v>271</v>
      </c>
      <c r="E18" s="3">
        <f t="shared" si="1"/>
        <v>2</v>
      </c>
      <c r="F18">
        <v>37.6</v>
      </c>
      <c r="G18">
        <v>4</v>
      </c>
      <c r="H18">
        <v>11.32</v>
      </c>
      <c r="I18">
        <v>2.82</v>
      </c>
      <c r="J18">
        <v>-0.18</v>
      </c>
      <c r="K18">
        <v>2</v>
      </c>
      <c r="L18">
        <v>8</v>
      </c>
      <c r="M18">
        <v>-0.5</v>
      </c>
      <c r="N18">
        <v>-3.5</v>
      </c>
      <c r="O18" s="19">
        <f t="shared" si="0"/>
        <v>1</v>
      </c>
      <c r="R18" s="37" t="s">
        <v>1</v>
      </c>
      <c r="S18" s="38"/>
      <c r="T18" s="38"/>
      <c r="U18" s="38"/>
      <c r="V18" s="38"/>
      <c r="W18" s="38"/>
      <c r="X18" s="26"/>
    </row>
    <row r="19" spans="1:24" x14ac:dyDescent="0.25">
      <c r="A19" s="39"/>
      <c r="B19" s="41"/>
      <c r="C19" t="s">
        <v>26</v>
      </c>
      <c r="D19" t="s">
        <v>271</v>
      </c>
      <c r="E19" s="3">
        <f t="shared" si="1"/>
        <v>2</v>
      </c>
      <c r="F19">
        <v>37.6</v>
      </c>
      <c r="G19">
        <v>4</v>
      </c>
      <c r="H19">
        <v>11.32</v>
      </c>
      <c r="I19">
        <v>2.82</v>
      </c>
      <c r="J19">
        <v>-0.18</v>
      </c>
      <c r="K19">
        <v>2</v>
      </c>
      <c r="L19">
        <v>8</v>
      </c>
      <c r="M19">
        <v>-0.5</v>
      </c>
      <c r="N19">
        <v>-3.5</v>
      </c>
      <c r="O19" s="19">
        <f t="shared" si="0"/>
        <v>1</v>
      </c>
      <c r="R19" s="1"/>
      <c r="S19" s="37" t="s">
        <v>1460</v>
      </c>
      <c r="T19" s="26"/>
      <c r="U19" s="37" t="s">
        <v>1461</v>
      </c>
      <c r="V19" s="26"/>
      <c r="W19" s="37" t="s">
        <v>1462</v>
      </c>
      <c r="X19" s="26"/>
    </row>
    <row r="20" spans="1:24" x14ac:dyDescent="0.25">
      <c r="A20" s="39"/>
      <c r="B20" s="41"/>
      <c r="C20" t="s">
        <v>27</v>
      </c>
      <c r="D20" t="s">
        <v>271</v>
      </c>
      <c r="E20" s="3">
        <f t="shared" si="1"/>
        <v>2</v>
      </c>
      <c r="F20">
        <v>37.6</v>
      </c>
      <c r="G20">
        <v>4</v>
      </c>
      <c r="H20">
        <v>11.32</v>
      </c>
      <c r="I20">
        <v>2.82</v>
      </c>
      <c r="J20">
        <v>-0.18</v>
      </c>
      <c r="K20">
        <v>2</v>
      </c>
      <c r="L20">
        <v>8</v>
      </c>
      <c r="M20">
        <v>-0.5</v>
      </c>
      <c r="N20">
        <v>-3.5</v>
      </c>
      <c r="O20" s="19">
        <f t="shared" si="0"/>
        <v>1</v>
      </c>
      <c r="R20" s="1" t="s">
        <v>1488</v>
      </c>
      <c r="S20" s="35">
        <f>AVERAGE(E$62:E$81)</f>
        <v>2</v>
      </c>
      <c r="T20" s="36"/>
      <c r="U20" s="35">
        <f>AVERAGE(E$82:E$101)</f>
        <v>2</v>
      </c>
      <c r="V20" s="26"/>
      <c r="W20" s="35">
        <f>AVERAGE(E$102:E$121)</f>
        <v>3</v>
      </c>
      <c r="X20" s="26"/>
    </row>
    <row r="21" spans="1:24" x14ac:dyDescent="0.25">
      <c r="A21" s="39"/>
      <c r="B21" s="42"/>
      <c r="C21" s="10" t="s">
        <v>28</v>
      </c>
      <c r="D21" s="10" t="s">
        <v>271</v>
      </c>
      <c r="E21" s="11">
        <f t="shared" si="1"/>
        <v>2</v>
      </c>
      <c r="F21" s="10">
        <v>37.6</v>
      </c>
      <c r="G21" s="10">
        <v>4</v>
      </c>
      <c r="H21" s="10">
        <v>11.32</v>
      </c>
      <c r="I21" s="10">
        <v>2.82</v>
      </c>
      <c r="J21" s="10">
        <v>-0.18</v>
      </c>
      <c r="K21" s="10">
        <v>2</v>
      </c>
      <c r="L21" s="10">
        <v>8</v>
      </c>
      <c r="M21" s="10">
        <v>-0.5</v>
      </c>
      <c r="N21" s="10">
        <v>-3.5</v>
      </c>
      <c r="O21" s="20">
        <f t="shared" si="0"/>
        <v>1</v>
      </c>
      <c r="R21" s="1" t="s">
        <v>1463</v>
      </c>
      <c r="S21" s="35">
        <f>AVERAGE(G$62:G$81)</f>
        <v>4</v>
      </c>
      <c r="T21" s="36"/>
      <c r="U21" s="35">
        <f>AVERAGE(G$82:G$101)</f>
        <v>4</v>
      </c>
      <c r="V21" s="36"/>
      <c r="W21" s="35">
        <f>AVERAGE(G$102:G$121)</f>
        <v>4</v>
      </c>
      <c r="X21" s="36"/>
    </row>
    <row r="22" spans="1:24" x14ac:dyDescent="0.25">
      <c r="A22" s="39"/>
      <c r="B22" s="40" t="s">
        <v>6</v>
      </c>
      <c r="C22" s="7" t="s">
        <v>29</v>
      </c>
      <c r="D22" s="7" t="s">
        <v>271</v>
      </c>
      <c r="E22" s="3">
        <f t="shared" si="1"/>
        <v>2</v>
      </c>
      <c r="F22" s="7">
        <v>56.41</v>
      </c>
      <c r="G22" s="7">
        <v>4</v>
      </c>
      <c r="H22" s="7">
        <v>16.98</v>
      </c>
      <c r="I22" s="7">
        <v>8.48</v>
      </c>
      <c r="J22" s="7">
        <v>5.48</v>
      </c>
      <c r="K22" s="7">
        <v>4</v>
      </c>
      <c r="L22" s="7">
        <v>12</v>
      </c>
      <c r="M22" s="7">
        <v>3.5</v>
      </c>
      <c r="N22" s="7">
        <v>0.5</v>
      </c>
      <c r="O22" s="18">
        <f t="shared" si="0"/>
        <v>0.5</v>
      </c>
      <c r="R22" s="1" t="s">
        <v>1464</v>
      </c>
      <c r="S22" s="24">
        <f>AVERAGE(H$62:H$81)</f>
        <v>13.609499999999997</v>
      </c>
      <c r="T22" s="25"/>
      <c r="U22" s="24">
        <f>AVERAGE(H$82:H$101)</f>
        <v>20.589999999999993</v>
      </c>
      <c r="V22" s="25"/>
      <c r="W22" s="35">
        <f>AVERAGE(H$102:H$121)</f>
        <v>27.459999999999997</v>
      </c>
      <c r="X22" s="36"/>
    </row>
    <row r="23" spans="1:24" x14ac:dyDescent="0.25">
      <c r="A23" s="39"/>
      <c r="B23" s="41"/>
      <c r="C23" t="s">
        <v>30</v>
      </c>
      <c r="D23" t="s">
        <v>271</v>
      </c>
      <c r="E23" s="3">
        <f t="shared" si="1"/>
        <v>2</v>
      </c>
      <c r="F23">
        <v>56.41</v>
      </c>
      <c r="G23">
        <v>4</v>
      </c>
      <c r="H23">
        <v>16.98</v>
      </c>
      <c r="I23">
        <v>8.48</v>
      </c>
      <c r="J23">
        <v>5.48</v>
      </c>
      <c r="K23">
        <v>4</v>
      </c>
      <c r="L23">
        <v>12</v>
      </c>
      <c r="M23">
        <v>3.5</v>
      </c>
      <c r="N23">
        <v>0.5</v>
      </c>
      <c r="O23" s="19">
        <f t="shared" si="0"/>
        <v>0.5</v>
      </c>
      <c r="R23" s="1" t="s">
        <v>1465</v>
      </c>
      <c r="S23" s="24">
        <f>AVERAGE(I$62:I$81)</f>
        <v>5.1095000000000024</v>
      </c>
      <c r="T23" s="25"/>
      <c r="U23" s="24">
        <f>AVERAGE(I$82:I$101)</f>
        <v>12.090000000000002</v>
      </c>
      <c r="V23" s="25"/>
      <c r="W23" s="35">
        <f>AVERAGE(I$102:I$121)</f>
        <v>18.959999999999997</v>
      </c>
      <c r="X23" s="36"/>
    </row>
    <row r="24" spans="1:24" x14ac:dyDescent="0.25">
      <c r="A24" s="39"/>
      <c r="B24" s="41"/>
      <c r="C24" t="s">
        <v>31</v>
      </c>
      <c r="D24" t="s">
        <v>271</v>
      </c>
      <c r="E24" s="3">
        <f t="shared" si="1"/>
        <v>2</v>
      </c>
      <c r="F24">
        <v>56.41</v>
      </c>
      <c r="G24">
        <v>4</v>
      </c>
      <c r="H24">
        <v>16.98</v>
      </c>
      <c r="I24">
        <v>8.48</v>
      </c>
      <c r="J24">
        <v>5.48</v>
      </c>
      <c r="K24">
        <v>4</v>
      </c>
      <c r="L24">
        <v>12</v>
      </c>
      <c r="M24">
        <v>3.5</v>
      </c>
      <c r="N24">
        <v>0.5</v>
      </c>
      <c r="O24" s="19">
        <f t="shared" si="0"/>
        <v>0.5</v>
      </c>
      <c r="R24" s="1" t="s">
        <v>1466</v>
      </c>
      <c r="S24" s="24">
        <f>AVERAGE(J$62:J$81)</f>
        <v>2.1094999999999997</v>
      </c>
      <c r="T24" s="25"/>
      <c r="U24" s="24">
        <f>AVERAGE(J$82:J$101)</f>
        <v>9.0900000000000016</v>
      </c>
      <c r="V24" s="25"/>
      <c r="W24" s="35">
        <f>AVERAGE(J$102:J$121)</f>
        <v>15.960000000000003</v>
      </c>
      <c r="X24" s="36"/>
    </row>
    <row r="25" spans="1:24" x14ac:dyDescent="0.25">
      <c r="A25" s="39"/>
      <c r="B25" s="41"/>
      <c r="C25" t="s">
        <v>32</v>
      </c>
      <c r="D25" t="s">
        <v>271</v>
      </c>
      <c r="E25" s="3">
        <f t="shared" si="1"/>
        <v>2</v>
      </c>
      <c r="F25">
        <v>56.41</v>
      </c>
      <c r="G25">
        <v>4</v>
      </c>
      <c r="H25">
        <v>16.98</v>
      </c>
      <c r="I25">
        <v>8.48</v>
      </c>
      <c r="J25">
        <v>5.48</v>
      </c>
      <c r="K25">
        <v>4</v>
      </c>
      <c r="L25">
        <v>11</v>
      </c>
      <c r="M25">
        <v>2.5</v>
      </c>
      <c r="N25">
        <v>-0.5</v>
      </c>
      <c r="O25" s="19">
        <f t="shared" si="0"/>
        <v>0.5</v>
      </c>
      <c r="R25" s="1" t="s">
        <v>1512</v>
      </c>
      <c r="S25" s="35">
        <f>AVERAGE(K$62:K$81)</f>
        <v>2</v>
      </c>
      <c r="T25" s="36"/>
      <c r="U25" s="35">
        <f>AVERAGE(K$82:K$101)</f>
        <v>4</v>
      </c>
      <c r="V25" s="36"/>
      <c r="W25" s="35">
        <f>AVERAGE(K$102:K$121)</f>
        <v>4</v>
      </c>
      <c r="X25" s="36"/>
    </row>
    <row r="26" spans="1:24" x14ac:dyDescent="0.25">
      <c r="A26" s="39"/>
      <c r="B26" s="41"/>
      <c r="C26" t="s">
        <v>33</v>
      </c>
      <c r="D26" t="s">
        <v>271</v>
      </c>
      <c r="E26" s="3">
        <f t="shared" si="1"/>
        <v>2</v>
      </c>
      <c r="F26">
        <v>56.41</v>
      </c>
      <c r="G26">
        <v>4</v>
      </c>
      <c r="H26">
        <v>16.98</v>
      </c>
      <c r="I26">
        <v>8.48</v>
      </c>
      <c r="J26">
        <v>5.48</v>
      </c>
      <c r="K26">
        <v>4</v>
      </c>
      <c r="L26">
        <v>11.27</v>
      </c>
      <c r="M26">
        <v>2.77</v>
      </c>
      <c r="N26">
        <v>-0.23</v>
      </c>
      <c r="O26" s="19">
        <f t="shared" si="0"/>
        <v>0.5</v>
      </c>
      <c r="R26" s="1" t="s">
        <v>1493</v>
      </c>
      <c r="S26" s="24">
        <f>AVERAGE(L$62:L$81)</f>
        <v>8</v>
      </c>
      <c r="T26" s="25"/>
      <c r="U26" s="24">
        <f>AVERAGE(L$82:L$101)</f>
        <v>11.9085</v>
      </c>
      <c r="V26" s="25"/>
      <c r="W26" s="35">
        <f>AVERAGE(L$102:L$121)</f>
        <v>15.9505</v>
      </c>
      <c r="X26" s="36"/>
    </row>
    <row r="27" spans="1:24" x14ac:dyDescent="0.25">
      <c r="A27" s="39"/>
      <c r="B27" s="41"/>
      <c r="C27" t="s">
        <v>34</v>
      </c>
      <c r="D27" t="s">
        <v>271</v>
      </c>
      <c r="E27" s="3">
        <f t="shared" si="1"/>
        <v>2</v>
      </c>
      <c r="F27">
        <v>56.41</v>
      </c>
      <c r="G27">
        <v>4</v>
      </c>
      <c r="H27">
        <v>16.98</v>
      </c>
      <c r="I27">
        <v>8.48</v>
      </c>
      <c r="J27">
        <v>5.48</v>
      </c>
      <c r="K27">
        <v>4</v>
      </c>
      <c r="L27">
        <v>12</v>
      </c>
      <c r="M27">
        <v>3.5</v>
      </c>
      <c r="N27">
        <v>0.5</v>
      </c>
      <c r="O27" s="19">
        <f t="shared" si="0"/>
        <v>0.5</v>
      </c>
      <c r="R27" s="1" t="s">
        <v>1467</v>
      </c>
      <c r="S27" s="24">
        <f>AVERAGE(M$62:M$81)</f>
        <v>-0.5</v>
      </c>
      <c r="T27" s="25"/>
      <c r="U27" s="24">
        <f>AVERAGE(M$82:M$101)</f>
        <v>3.4089999999999998</v>
      </c>
      <c r="V27" s="25"/>
      <c r="W27" s="35">
        <f>AVERAGE(M$102:M$121)</f>
        <v>7.4504999999999999</v>
      </c>
      <c r="X27" s="36"/>
    </row>
    <row r="28" spans="1:24" x14ac:dyDescent="0.25">
      <c r="A28" s="39"/>
      <c r="B28" s="41"/>
      <c r="C28" t="s">
        <v>35</v>
      </c>
      <c r="D28" t="s">
        <v>271</v>
      </c>
      <c r="E28" s="3">
        <f t="shared" si="1"/>
        <v>2</v>
      </c>
      <c r="F28">
        <v>56.41</v>
      </c>
      <c r="G28">
        <v>4</v>
      </c>
      <c r="H28">
        <v>16.98</v>
      </c>
      <c r="I28">
        <v>8.48</v>
      </c>
      <c r="J28">
        <v>5.48</v>
      </c>
      <c r="K28">
        <v>4</v>
      </c>
      <c r="L28">
        <v>11.67</v>
      </c>
      <c r="M28">
        <v>3.17</v>
      </c>
      <c r="N28">
        <v>0.17</v>
      </c>
      <c r="O28" s="19">
        <f t="shared" si="0"/>
        <v>0.5</v>
      </c>
      <c r="R28" s="1" t="s">
        <v>1468</v>
      </c>
      <c r="S28" s="24">
        <f>AVERAGE(N$62:N$81)</f>
        <v>-3.5</v>
      </c>
      <c r="T28" s="25"/>
      <c r="U28" s="24">
        <f>AVERAGE(N$82:N$101)</f>
        <v>0.40899999999999997</v>
      </c>
      <c r="V28" s="25"/>
      <c r="W28" s="35">
        <f>AVERAGE(N$102:N$121)</f>
        <v>4.4504999999999999</v>
      </c>
      <c r="X28" s="36"/>
    </row>
    <row r="29" spans="1:24" x14ac:dyDescent="0.25">
      <c r="A29" s="39"/>
      <c r="B29" s="41"/>
      <c r="C29" t="s">
        <v>36</v>
      </c>
      <c r="D29" t="s">
        <v>271</v>
      </c>
      <c r="E29" s="3">
        <f t="shared" si="1"/>
        <v>2</v>
      </c>
      <c r="F29">
        <v>56.41</v>
      </c>
      <c r="G29">
        <v>4</v>
      </c>
      <c r="H29">
        <v>16.98</v>
      </c>
      <c r="I29">
        <v>8.48</v>
      </c>
      <c r="J29">
        <v>5.48</v>
      </c>
      <c r="K29">
        <v>4</v>
      </c>
      <c r="L29">
        <v>12</v>
      </c>
      <c r="M29">
        <v>3.5</v>
      </c>
      <c r="N29">
        <v>0.5</v>
      </c>
      <c r="O29" s="19">
        <f t="shared" si="0"/>
        <v>0.5</v>
      </c>
    </row>
    <row r="30" spans="1:24" x14ac:dyDescent="0.25">
      <c r="A30" s="39"/>
      <c r="B30" s="41"/>
      <c r="C30" t="s">
        <v>37</v>
      </c>
      <c r="D30" t="s">
        <v>271</v>
      </c>
      <c r="E30" s="3">
        <f t="shared" si="1"/>
        <v>2</v>
      </c>
      <c r="F30">
        <v>56.41</v>
      </c>
      <c r="G30">
        <v>4</v>
      </c>
      <c r="H30">
        <v>16.98</v>
      </c>
      <c r="I30">
        <v>8.48</v>
      </c>
      <c r="J30">
        <v>5.48</v>
      </c>
      <c r="K30">
        <v>4</v>
      </c>
      <c r="L30">
        <v>12</v>
      </c>
      <c r="M30">
        <v>3.5</v>
      </c>
      <c r="N30">
        <v>0.5</v>
      </c>
      <c r="O30" s="19">
        <f t="shared" si="0"/>
        <v>0.5</v>
      </c>
      <c r="R30" s="37" t="s">
        <v>2</v>
      </c>
      <c r="S30" s="38"/>
      <c r="T30" s="38"/>
      <c r="U30" s="38"/>
      <c r="V30" s="38"/>
      <c r="W30" s="38"/>
      <c r="X30" s="26"/>
    </row>
    <row r="31" spans="1:24" x14ac:dyDescent="0.25">
      <c r="A31" s="39"/>
      <c r="B31" s="41"/>
      <c r="C31" t="s">
        <v>38</v>
      </c>
      <c r="D31" t="s">
        <v>271</v>
      </c>
      <c r="E31" s="3">
        <f t="shared" si="1"/>
        <v>2</v>
      </c>
      <c r="F31">
        <v>56.41</v>
      </c>
      <c r="G31">
        <v>4</v>
      </c>
      <c r="H31">
        <v>16.98</v>
      </c>
      <c r="I31">
        <v>8.48</v>
      </c>
      <c r="J31">
        <v>5.48</v>
      </c>
      <c r="K31">
        <v>4</v>
      </c>
      <c r="L31">
        <v>12</v>
      </c>
      <c r="M31">
        <v>3.5</v>
      </c>
      <c r="N31">
        <v>0.5</v>
      </c>
      <c r="O31" s="19">
        <f t="shared" si="0"/>
        <v>0.5</v>
      </c>
      <c r="R31" s="1"/>
      <c r="S31" s="37" t="s">
        <v>1460</v>
      </c>
      <c r="T31" s="26"/>
      <c r="U31" s="37" t="s">
        <v>1461</v>
      </c>
      <c r="V31" s="26"/>
      <c r="W31" s="37" t="s">
        <v>1462</v>
      </c>
      <c r="X31" s="26"/>
    </row>
    <row r="32" spans="1:24" x14ac:dyDescent="0.25">
      <c r="A32" s="39"/>
      <c r="B32" s="41"/>
      <c r="C32" t="s">
        <v>39</v>
      </c>
      <c r="D32" t="s">
        <v>271</v>
      </c>
      <c r="E32" s="3">
        <f t="shared" si="1"/>
        <v>2</v>
      </c>
      <c r="F32">
        <v>56.41</v>
      </c>
      <c r="G32">
        <v>4</v>
      </c>
      <c r="H32">
        <v>16.98</v>
      </c>
      <c r="I32">
        <v>8.48</v>
      </c>
      <c r="J32">
        <v>5.48</v>
      </c>
      <c r="K32">
        <v>4</v>
      </c>
      <c r="L32">
        <v>12</v>
      </c>
      <c r="M32">
        <v>3.5</v>
      </c>
      <c r="N32">
        <v>0.5</v>
      </c>
      <c r="O32" s="19">
        <f t="shared" si="0"/>
        <v>0.5</v>
      </c>
      <c r="R32" s="1" t="s">
        <v>1488</v>
      </c>
      <c r="S32" s="35">
        <f>AVERAGE(E$122:E$141)</f>
        <v>2</v>
      </c>
      <c r="T32" s="36"/>
      <c r="U32" s="35">
        <f>AVERAGE(E$142:E$161)</f>
        <v>2.4500000000000002</v>
      </c>
      <c r="V32" s="26"/>
      <c r="W32" s="35">
        <f>AVERAGE(E$162:E$181)</f>
        <v>3.5</v>
      </c>
      <c r="X32" s="26"/>
    </row>
    <row r="33" spans="1:24" x14ac:dyDescent="0.25">
      <c r="A33" s="39"/>
      <c r="B33" s="41"/>
      <c r="C33" t="s">
        <v>40</v>
      </c>
      <c r="D33" t="s">
        <v>271</v>
      </c>
      <c r="E33" s="3">
        <f t="shared" si="1"/>
        <v>2</v>
      </c>
      <c r="F33">
        <v>56.41</v>
      </c>
      <c r="G33">
        <v>4</v>
      </c>
      <c r="H33">
        <v>16.98</v>
      </c>
      <c r="I33">
        <v>8.48</v>
      </c>
      <c r="J33">
        <v>5.48</v>
      </c>
      <c r="K33">
        <v>4</v>
      </c>
      <c r="L33">
        <v>12</v>
      </c>
      <c r="M33">
        <v>3.5</v>
      </c>
      <c r="N33">
        <v>0.5</v>
      </c>
      <c r="O33" s="19">
        <f t="shared" si="0"/>
        <v>0.5</v>
      </c>
      <c r="R33" s="1" t="s">
        <v>1463</v>
      </c>
      <c r="S33" s="35">
        <f>AVERAGE(G$122:G$141)</f>
        <v>4</v>
      </c>
      <c r="T33" s="36"/>
      <c r="U33" s="35">
        <f>AVERAGE(G$142:G$161)</f>
        <v>4</v>
      </c>
      <c r="V33" s="26"/>
      <c r="W33" s="35">
        <f>AVERAGE(G$162:G$181)</f>
        <v>4</v>
      </c>
      <c r="X33" s="26"/>
    </row>
    <row r="34" spans="1:24" x14ac:dyDescent="0.25">
      <c r="A34" s="39"/>
      <c r="B34" s="41"/>
      <c r="C34" t="s">
        <v>41</v>
      </c>
      <c r="D34" t="s">
        <v>271</v>
      </c>
      <c r="E34" s="3">
        <f t="shared" si="1"/>
        <v>2</v>
      </c>
      <c r="F34">
        <v>56.41</v>
      </c>
      <c r="G34">
        <v>4</v>
      </c>
      <c r="H34">
        <v>16.98</v>
      </c>
      <c r="I34">
        <v>8.48</v>
      </c>
      <c r="J34">
        <v>5.48</v>
      </c>
      <c r="K34">
        <v>4</v>
      </c>
      <c r="L34">
        <v>12</v>
      </c>
      <c r="M34">
        <v>3.5</v>
      </c>
      <c r="N34">
        <v>0.5</v>
      </c>
      <c r="O34" s="19">
        <f t="shared" si="0"/>
        <v>0.5</v>
      </c>
      <c r="R34" s="1" t="s">
        <v>1464</v>
      </c>
      <c r="S34" s="24">
        <f>AVERAGE(H$122:H$141)</f>
        <v>14.74</v>
      </c>
      <c r="T34" s="25"/>
      <c r="U34" s="24">
        <f>AVERAGE(H$142:H$161)</f>
        <v>22.253999999999998</v>
      </c>
      <c r="V34" s="25"/>
      <c r="W34" s="24">
        <f>AVERAGE(H$162:H$181)</f>
        <v>29.674000000000007</v>
      </c>
      <c r="X34" s="25"/>
    </row>
    <row r="35" spans="1:24" x14ac:dyDescent="0.25">
      <c r="A35" s="39"/>
      <c r="B35" s="41"/>
      <c r="C35" t="s">
        <v>42</v>
      </c>
      <c r="D35" t="s">
        <v>271</v>
      </c>
      <c r="E35" s="3">
        <f t="shared" si="1"/>
        <v>2</v>
      </c>
      <c r="F35">
        <v>56.41</v>
      </c>
      <c r="G35">
        <v>4</v>
      </c>
      <c r="H35">
        <v>16.98</v>
      </c>
      <c r="I35">
        <v>8.48</v>
      </c>
      <c r="J35">
        <v>5.48</v>
      </c>
      <c r="K35">
        <v>4</v>
      </c>
      <c r="L35">
        <v>12</v>
      </c>
      <c r="M35">
        <v>3.5</v>
      </c>
      <c r="N35">
        <v>0.5</v>
      </c>
      <c r="O35" s="19">
        <f t="shared" si="0"/>
        <v>0.5</v>
      </c>
      <c r="R35" s="1" t="s">
        <v>1465</v>
      </c>
      <c r="S35" s="24">
        <f>AVERAGE(I$122:I$141)</f>
        <v>6.2445000000000013</v>
      </c>
      <c r="T35" s="25"/>
      <c r="U35" s="24">
        <f>AVERAGE(I$142:I$161)</f>
        <v>13.753999999999996</v>
      </c>
      <c r="V35" s="25"/>
      <c r="W35" s="24">
        <f>AVERAGE(I$162:I$181)</f>
        <v>21.17400000000001</v>
      </c>
      <c r="X35" s="25"/>
    </row>
    <row r="36" spans="1:24" x14ac:dyDescent="0.25">
      <c r="A36" s="39"/>
      <c r="B36" s="41"/>
      <c r="C36" t="s">
        <v>43</v>
      </c>
      <c r="D36" t="s">
        <v>271</v>
      </c>
      <c r="E36" s="3">
        <f t="shared" si="1"/>
        <v>2</v>
      </c>
      <c r="F36">
        <v>56.41</v>
      </c>
      <c r="G36">
        <v>4</v>
      </c>
      <c r="H36">
        <v>16.98</v>
      </c>
      <c r="I36">
        <v>8.48</v>
      </c>
      <c r="J36">
        <v>5.48</v>
      </c>
      <c r="K36">
        <v>4</v>
      </c>
      <c r="L36">
        <v>12</v>
      </c>
      <c r="M36">
        <v>3.5</v>
      </c>
      <c r="N36">
        <v>0.5</v>
      </c>
      <c r="O36" s="19">
        <f t="shared" si="0"/>
        <v>0.5</v>
      </c>
      <c r="R36" s="1" t="s">
        <v>1466</v>
      </c>
      <c r="S36" s="24">
        <f>AVERAGE(J$122:J$141)</f>
        <v>3.2445000000000008</v>
      </c>
      <c r="T36" s="25"/>
      <c r="U36" s="24">
        <f>AVERAGE(J$142:J$161)</f>
        <v>10.753999999999998</v>
      </c>
      <c r="V36" s="25"/>
      <c r="W36" s="24">
        <f>AVERAGE(J$162:J$181)</f>
        <v>18.174000000000007</v>
      </c>
      <c r="X36" s="25"/>
    </row>
    <row r="37" spans="1:24" x14ac:dyDescent="0.25">
      <c r="A37" s="39"/>
      <c r="B37" s="41"/>
      <c r="C37" t="s">
        <v>44</v>
      </c>
      <c r="D37" t="s">
        <v>271</v>
      </c>
      <c r="E37" s="3">
        <f t="shared" si="1"/>
        <v>2</v>
      </c>
      <c r="F37">
        <v>56.41</v>
      </c>
      <c r="G37">
        <v>4</v>
      </c>
      <c r="H37">
        <v>16.98</v>
      </c>
      <c r="I37">
        <v>8.48</v>
      </c>
      <c r="J37">
        <v>5.48</v>
      </c>
      <c r="K37">
        <v>4</v>
      </c>
      <c r="L37">
        <v>12</v>
      </c>
      <c r="M37">
        <v>3.5</v>
      </c>
      <c r="N37">
        <v>0.5</v>
      </c>
      <c r="O37" s="19">
        <f t="shared" si="0"/>
        <v>0.5</v>
      </c>
      <c r="R37" s="1" t="s">
        <v>1512</v>
      </c>
      <c r="S37" s="35">
        <f>AVERAGE(K$122:K$141)</f>
        <v>2</v>
      </c>
      <c r="T37" s="36"/>
      <c r="U37" s="35">
        <f>AVERAGE(K$142:K$161)</f>
        <v>4</v>
      </c>
      <c r="V37" s="26"/>
      <c r="W37" s="35">
        <f>AVERAGE(K$162:K$181)</f>
        <v>4</v>
      </c>
      <c r="X37" s="26"/>
    </row>
    <row r="38" spans="1:24" x14ac:dyDescent="0.25">
      <c r="A38" s="39"/>
      <c r="B38" s="41"/>
      <c r="C38" t="s">
        <v>45</v>
      </c>
      <c r="D38" t="s">
        <v>271</v>
      </c>
      <c r="E38" s="3">
        <f t="shared" si="1"/>
        <v>2</v>
      </c>
      <c r="F38">
        <v>56.41</v>
      </c>
      <c r="G38">
        <v>4</v>
      </c>
      <c r="H38">
        <v>16.98</v>
      </c>
      <c r="I38">
        <v>8.48</v>
      </c>
      <c r="J38">
        <v>5.48</v>
      </c>
      <c r="K38">
        <v>4</v>
      </c>
      <c r="L38">
        <v>12</v>
      </c>
      <c r="M38">
        <v>3.5</v>
      </c>
      <c r="N38">
        <v>0.5</v>
      </c>
      <c r="O38" s="19">
        <f t="shared" si="0"/>
        <v>0.5</v>
      </c>
      <c r="R38" s="1" t="s">
        <v>1493</v>
      </c>
      <c r="S38" s="24">
        <f>AVERAGE(L$122:L$141)</f>
        <v>7.9305000000000003</v>
      </c>
      <c r="T38" s="25"/>
      <c r="U38" s="24">
        <f>AVERAGE(L$142:L$161)</f>
        <v>11.935499999999999</v>
      </c>
      <c r="V38" s="25"/>
      <c r="W38" s="24">
        <f>AVERAGE(L$162:L$181)</f>
        <v>15.992500000000001</v>
      </c>
      <c r="X38" s="25"/>
    </row>
    <row r="39" spans="1:24" x14ac:dyDescent="0.25">
      <c r="A39" s="39"/>
      <c r="B39" s="41"/>
      <c r="C39" t="s">
        <v>46</v>
      </c>
      <c r="D39" t="s">
        <v>271</v>
      </c>
      <c r="E39" s="3">
        <f t="shared" si="1"/>
        <v>2</v>
      </c>
      <c r="F39">
        <v>56.41</v>
      </c>
      <c r="G39">
        <v>4</v>
      </c>
      <c r="H39">
        <v>16.98</v>
      </c>
      <c r="I39">
        <v>8.48</v>
      </c>
      <c r="J39">
        <v>5.48</v>
      </c>
      <c r="K39">
        <v>4</v>
      </c>
      <c r="L39">
        <v>12</v>
      </c>
      <c r="M39">
        <v>3.5</v>
      </c>
      <c r="N39">
        <v>0.5</v>
      </c>
      <c r="O39" s="19">
        <f t="shared" si="0"/>
        <v>0.5</v>
      </c>
      <c r="R39" s="1" t="s">
        <v>1467</v>
      </c>
      <c r="S39" s="24">
        <f>AVERAGE(M$122:M$141)</f>
        <v>-0.56950000000000001</v>
      </c>
      <c r="T39" s="25"/>
      <c r="U39" s="24">
        <f>AVERAGE(M$142:M$161)</f>
        <v>3.4359999999999999</v>
      </c>
      <c r="V39" s="25"/>
      <c r="W39" s="24">
        <f>AVERAGE(M$162:M$181)</f>
        <v>7.4924999999999997</v>
      </c>
      <c r="X39" s="25"/>
    </row>
    <row r="40" spans="1:24" x14ac:dyDescent="0.25">
      <c r="A40" s="39"/>
      <c r="B40" s="41"/>
      <c r="C40" t="s">
        <v>47</v>
      </c>
      <c r="D40" t="s">
        <v>271</v>
      </c>
      <c r="E40" s="3">
        <f t="shared" si="1"/>
        <v>2</v>
      </c>
      <c r="F40">
        <v>56.41</v>
      </c>
      <c r="G40">
        <v>4</v>
      </c>
      <c r="H40">
        <v>16.98</v>
      </c>
      <c r="I40">
        <v>8.48</v>
      </c>
      <c r="J40">
        <v>5.48</v>
      </c>
      <c r="K40">
        <v>4</v>
      </c>
      <c r="L40">
        <v>12</v>
      </c>
      <c r="M40">
        <v>3.5</v>
      </c>
      <c r="N40">
        <v>0.5</v>
      </c>
      <c r="O40" s="19">
        <f t="shared" si="0"/>
        <v>0.5</v>
      </c>
      <c r="R40" s="1" t="s">
        <v>1468</v>
      </c>
      <c r="S40" s="24">
        <f>AVERAGE(N$122:N$141)</f>
        <v>-3.5695000000000001</v>
      </c>
      <c r="T40" s="25"/>
      <c r="U40" s="24">
        <f>AVERAGE(N$142:N$161)</f>
        <v>0.43600000000000005</v>
      </c>
      <c r="V40" s="25"/>
      <c r="W40" s="24">
        <f>AVERAGE(N$162:N$181)</f>
        <v>4.4924999999999997</v>
      </c>
      <c r="X40" s="25"/>
    </row>
    <row r="41" spans="1:24" x14ac:dyDescent="0.25">
      <c r="A41" s="39"/>
      <c r="B41" s="42"/>
      <c r="C41" s="10" t="s">
        <v>48</v>
      </c>
      <c r="D41" s="10" t="s">
        <v>271</v>
      </c>
      <c r="E41" s="11">
        <f t="shared" si="1"/>
        <v>2</v>
      </c>
      <c r="F41" s="10">
        <v>56.41</v>
      </c>
      <c r="G41" s="10">
        <v>4</v>
      </c>
      <c r="H41" s="10">
        <v>16.98</v>
      </c>
      <c r="I41" s="10">
        <v>8.48</v>
      </c>
      <c r="J41" s="10">
        <v>5.48</v>
      </c>
      <c r="K41" s="10">
        <v>4</v>
      </c>
      <c r="L41" s="10">
        <v>12</v>
      </c>
      <c r="M41" s="10">
        <v>3.5</v>
      </c>
      <c r="N41" s="10">
        <v>0.5</v>
      </c>
      <c r="O41" s="20">
        <f t="shared" si="0"/>
        <v>0.5</v>
      </c>
    </row>
    <row r="42" spans="1:24" x14ac:dyDescent="0.25">
      <c r="A42" s="39"/>
      <c r="B42" s="40" t="s">
        <v>5</v>
      </c>
      <c r="C42" s="7" t="s">
        <v>49</v>
      </c>
      <c r="D42" s="7" t="s">
        <v>271</v>
      </c>
      <c r="E42" s="3">
        <f t="shared" si="1"/>
        <v>2</v>
      </c>
      <c r="F42" s="7">
        <v>75.209999999999994</v>
      </c>
      <c r="G42" s="7">
        <v>4</v>
      </c>
      <c r="H42" s="7">
        <v>22.64</v>
      </c>
      <c r="I42" s="7">
        <v>14.14</v>
      </c>
      <c r="J42" s="7">
        <v>11.14</v>
      </c>
      <c r="K42" s="7">
        <v>4</v>
      </c>
      <c r="L42" s="7">
        <v>16</v>
      </c>
      <c r="M42" s="7">
        <v>7.5</v>
      </c>
      <c r="N42" s="7">
        <v>4.5</v>
      </c>
      <c r="O42" s="18">
        <f t="shared" si="0"/>
        <v>0.5</v>
      </c>
      <c r="R42" s="37" t="s">
        <v>1491</v>
      </c>
      <c r="S42" s="38"/>
      <c r="T42" s="38"/>
      <c r="U42" s="38"/>
      <c r="V42" s="38"/>
      <c r="W42" s="38"/>
      <c r="X42" s="26"/>
    </row>
    <row r="43" spans="1:24" x14ac:dyDescent="0.25">
      <c r="A43" s="39"/>
      <c r="B43" s="41"/>
      <c r="C43" t="s">
        <v>50</v>
      </c>
      <c r="D43" t="s">
        <v>51</v>
      </c>
      <c r="E43" s="3">
        <f t="shared" si="1"/>
        <v>3</v>
      </c>
      <c r="F43">
        <v>75.209999999999994</v>
      </c>
      <c r="G43">
        <v>4</v>
      </c>
      <c r="H43">
        <v>22.64</v>
      </c>
      <c r="I43">
        <v>14.14</v>
      </c>
      <c r="J43">
        <v>11.14</v>
      </c>
      <c r="K43">
        <v>4</v>
      </c>
      <c r="L43">
        <v>15.92</v>
      </c>
      <c r="M43">
        <v>7.43</v>
      </c>
      <c r="N43">
        <v>4.43</v>
      </c>
      <c r="O43" s="19">
        <f t="shared" si="0"/>
        <v>0.75</v>
      </c>
      <c r="R43" s="1"/>
      <c r="S43" s="37" t="s">
        <v>1460</v>
      </c>
      <c r="T43" s="26"/>
      <c r="U43" s="37" t="s">
        <v>1461</v>
      </c>
      <c r="V43" s="26"/>
      <c r="W43" s="37" t="s">
        <v>1462</v>
      </c>
      <c r="X43" s="26"/>
    </row>
    <row r="44" spans="1:24" x14ac:dyDescent="0.25">
      <c r="A44" s="39"/>
      <c r="B44" s="41"/>
      <c r="C44" t="s">
        <v>52</v>
      </c>
      <c r="D44" t="s">
        <v>51</v>
      </c>
      <c r="E44" s="3">
        <f t="shared" si="1"/>
        <v>3</v>
      </c>
      <c r="F44">
        <v>75.209999999999994</v>
      </c>
      <c r="G44">
        <v>4</v>
      </c>
      <c r="H44">
        <v>22.64</v>
      </c>
      <c r="I44">
        <v>14.14</v>
      </c>
      <c r="J44">
        <v>11.14</v>
      </c>
      <c r="K44">
        <v>4</v>
      </c>
      <c r="L44">
        <v>16</v>
      </c>
      <c r="M44">
        <v>7.5</v>
      </c>
      <c r="N44">
        <v>4.5</v>
      </c>
      <c r="O44" s="19">
        <f t="shared" si="0"/>
        <v>0.75</v>
      </c>
      <c r="R44" s="1" t="s">
        <v>1488</v>
      </c>
      <c r="S44" s="35">
        <f>AVERAGE(E$182:E$201)</f>
        <v>2</v>
      </c>
      <c r="T44" s="36"/>
      <c r="U44" s="35">
        <f>AVERAGE(E$202:E$221)</f>
        <v>2.8</v>
      </c>
      <c r="V44" s="26"/>
      <c r="W44" s="35">
        <f>AVERAGE(E$222:E$241)</f>
        <v>4</v>
      </c>
      <c r="X44" s="26"/>
    </row>
    <row r="45" spans="1:24" x14ac:dyDescent="0.25">
      <c r="A45" s="39"/>
      <c r="B45" s="41"/>
      <c r="C45" t="s">
        <v>53</v>
      </c>
      <c r="D45" t="s">
        <v>51</v>
      </c>
      <c r="E45" s="3">
        <f t="shared" si="1"/>
        <v>3</v>
      </c>
      <c r="F45">
        <v>75.209999999999994</v>
      </c>
      <c r="G45">
        <v>4</v>
      </c>
      <c r="H45">
        <v>22.64</v>
      </c>
      <c r="I45">
        <v>14.14</v>
      </c>
      <c r="J45">
        <v>11.14</v>
      </c>
      <c r="K45">
        <v>4</v>
      </c>
      <c r="L45">
        <v>16</v>
      </c>
      <c r="M45">
        <v>7.5</v>
      </c>
      <c r="N45">
        <v>4.5</v>
      </c>
      <c r="O45" s="19">
        <f t="shared" si="0"/>
        <v>0.75</v>
      </c>
      <c r="R45" s="1" t="s">
        <v>1463</v>
      </c>
      <c r="S45" s="35">
        <f>AVERAGE(G$182:G$201)</f>
        <v>4</v>
      </c>
      <c r="T45" s="36"/>
      <c r="U45" s="35">
        <f>AVERAGE(G$202:G$221)</f>
        <v>4</v>
      </c>
      <c r="V45" s="26"/>
      <c r="W45" s="35">
        <f>AVERAGE(G$222:G$241)</f>
        <v>4</v>
      </c>
      <c r="X45" s="26"/>
    </row>
    <row r="46" spans="1:24" x14ac:dyDescent="0.25">
      <c r="A46" s="39"/>
      <c r="B46" s="41"/>
      <c r="C46" t="s">
        <v>54</v>
      </c>
      <c r="D46" t="s">
        <v>51</v>
      </c>
      <c r="E46" s="3">
        <f t="shared" si="1"/>
        <v>3</v>
      </c>
      <c r="F46">
        <v>75.209999999999994</v>
      </c>
      <c r="G46">
        <v>4</v>
      </c>
      <c r="H46">
        <v>22.64</v>
      </c>
      <c r="I46">
        <v>14.14</v>
      </c>
      <c r="J46">
        <v>11.14</v>
      </c>
      <c r="K46">
        <v>4</v>
      </c>
      <c r="L46">
        <v>16</v>
      </c>
      <c r="M46">
        <v>7.5</v>
      </c>
      <c r="N46">
        <v>4.5</v>
      </c>
      <c r="O46" s="19">
        <f t="shared" si="0"/>
        <v>0.75</v>
      </c>
      <c r="R46" s="1" t="s">
        <v>1464</v>
      </c>
      <c r="S46" s="24">
        <f>AVERAGE(H$182:H$201)</f>
        <v>15.1835</v>
      </c>
      <c r="T46" s="25"/>
      <c r="U46" s="24">
        <f>AVERAGE(H$202:H$221)</f>
        <v>23.335499999999996</v>
      </c>
      <c r="V46" s="25"/>
      <c r="W46" s="24">
        <f>AVERAGE(H$222:H$241)</f>
        <v>31.375000000000007</v>
      </c>
      <c r="X46" s="25"/>
    </row>
    <row r="47" spans="1:24" x14ac:dyDescent="0.25">
      <c r="A47" s="39"/>
      <c r="B47" s="41"/>
      <c r="C47" t="s">
        <v>55</v>
      </c>
      <c r="D47" t="s">
        <v>51</v>
      </c>
      <c r="E47" s="3">
        <f t="shared" si="1"/>
        <v>3</v>
      </c>
      <c r="F47">
        <v>75.209999999999994</v>
      </c>
      <c r="G47">
        <v>4</v>
      </c>
      <c r="H47">
        <v>22.64</v>
      </c>
      <c r="I47">
        <v>14.14</v>
      </c>
      <c r="J47">
        <v>11.14</v>
      </c>
      <c r="K47">
        <v>4</v>
      </c>
      <c r="L47">
        <v>16</v>
      </c>
      <c r="M47">
        <v>7.5</v>
      </c>
      <c r="N47">
        <v>4.5</v>
      </c>
      <c r="O47" s="19">
        <f t="shared" si="0"/>
        <v>0.75</v>
      </c>
      <c r="R47" s="1" t="s">
        <v>1465</v>
      </c>
      <c r="S47" s="24">
        <f>AVERAGE(I$182:I$201)</f>
        <v>6.6880000000000024</v>
      </c>
      <c r="T47" s="25"/>
      <c r="U47" s="24">
        <f>AVERAGE(I$202:I$221)</f>
        <v>14.835500000000001</v>
      </c>
      <c r="V47" s="25"/>
      <c r="W47" s="24">
        <f>AVERAGE(I$222:I$241)</f>
        <v>22.875</v>
      </c>
      <c r="X47" s="25"/>
    </row>
    <row r="48" spans="1:24" x14ac:dyDescent="0.25">
      <c r="A48" s="39"/>
      <c r="B48" s="41"/>
      <c r="C48" t="s">
        <v>56</v>
      </c>
      <c r="D48" t="s">
        <v>271</v>
      </c>
      <c r="E48" s="3">
        <f t="shared" si="1"/>
        <v>2</v>
      </c>
      <c r="F48">
        <v>75.209999999999994</v>
      </c>
      <c r="G48">
        <v>4</v>
      </c>
      <c r="H48">
        <v>22.64</v>
      </c>
      <c r="I48">
        <v>14.14</v>
      </c>
      <c r="J48">
        <v>11.14</v>
      </c>
      <c r="K48">
        <v>4</v>
      </c>
      <c r="L48">
        <v>16</v>
      </c>
      <c r="M48">
        <v>7.5</v>
      </c>
      <c r="N48">
        <v>4.5</v>
      </c>
      <c r="O48" s="19">
        <f t="shared" si="0"/>
        <v>0.5</v>
      </c>
      <c r="R48" s="1" t="s">
        <v>1466</v>
      </c>
      <c r="S48" s="24">
        <f>AVERAGE(J$182:J$201)</f>
        <v>3.6880000000000011</v>
      </c>
      <c r="T48" s="25"/>
      <c r="U48" s="24">
        <f>AVERAGE(J$202:J$221)</f>
        <v>11.835500000000003</v>
      </c>
      <c r="V48" s="25"/>
      <c r="W48" s="24">
        <f>AVERAGE(J$222:J$241)</f>
        <v>19.875</v>
      </c>
      <c r="X48" s="25"/>
    </row>
    <row r="49" spans="1:24" x14ac:dyDescent="0.25">
      <c r="A49" s="39"/>
      <c r="B49" s="41"/>
      <c r="C49" t="s">
        <v>57</v>
      </c>
      <c r="D49" t="s">
        <v>51</v>
      </c>
      <c r="E49" s="3">
        <f t="shared" si="1"/>
        <v>3</v>
      </c>
      <c r="F49">
        <v>75.209999999999994</v>
      </c>
      <c r="G49">
        <v>4</v>
      </c>
      <c r="H49">
        <v>22.64</v>
      </c>
      <c r="I49">
        <v>14.14</v>
      </c>
      <c r="J49">
        <v>11.14</v>
      </c>
      <c r="K49">
        <v>4</v>
      </c>
      <c r="L49">
        <v>16</v>
      </c>
      <c r="M49">
        <v>7.5</v>
      </c>
      <c r="N49">
        <v>4.5</v>
      </c>
      <c r="O49" s="19">
        <f t="shared" si="0"/>
        <v>0.75</v>
      </c>
      <c r="R49" s="1" t="s">
        <v>1512</v>
      </c>
      <c r="S49" s="35">
        <f>AVERAGE(K$182:K$201)</f>
        <v>1.95</v>
      </c>
      <c r="T49" s="36"/>
      <c r="U49" s="35">
        <f>AVERAGE(K$202:K$221)</f>
        <v>4</v>
      </c>
      <c r="V49" s="26"/>
      <c r="W49" s="35">
        <f>AVERAGE(K$222:K$241)</f>
        <v>4</v>
      </c>
      <c r="X49" s="26"/>
    </row>
    <row r="50" spans="1:24" x14ac:dyDescent="0.25">
      <c r="A50" s="39"/>
      <c r="B50" s="41"/>
      <c r="C50" t="s">
        <v>58</v>
      </c>
      <c r="D50" t="s">
        <v>271</v>
      </c>
      <c r="E50" s="3">
        <f t="shared" si="1"/>
        <v>2</v>
      </c>
      <c r="F50">
        <v>75.209999999999994</v>
      </c>
      <c r="G50">
        <v>4</v>
      </c>
      <c r="H50">
        <v>22.64</v>
      </c>
      <c r="I50">
        <v>14.14</v>
      </c>
      <c r="J50">
        <v>11.14</v>
      </c>
      <c r="K50">
        <v>4</v>
      </c>
      <c r="L50">
        <v>16</v>
      </c>
      <c r="M50">
        <v>7.5</v>
      </c>
      <c r="N50">
        <v>4.5</v>
      </c>
      <c r="O50" s="19">
        <f t="shared" si="0"/>
        <v>0.5</v>
      </c>
      <c r="R50" s="1" t="s">
        <v>1493</v>
      </c>
      <c r="S50" s="24">
        <f>AVERAGE(L$182:L$201)</f>
        <v>7.85</v>
      </c>
      <c r="T50" s="25"/>
      <c r="U50" s="24">
        <f>AVERAGE(L$202:L$221)</f>
        <v>12</v>
      </c>
      <c r="V50" s="25"/>
      <c r="W50" s="24">
        <f>AVERAGE(L$222:L$241)</f>
        <v>15.994999999999999</v>
      </c>
      <c r="X50" s="25"/>
    </row>
    <row r="51" spans="1:24" x14ac:dyDescent="0.25">
      <c r="A51" s="39"/>
      <c r="B51" s="41"/>
      <c r="C51" t="s">
        <v>59</v>
      </c>
      <c r="D51" t="s">
        <v>271</v>
      </c>
      <c r="E51" s="3">
        <f t="shared" si="1"/>
        <v>2</v>
      </c>
      <c r="F51">
        <v>75.209999999999994</v>
      </c>
      <c r="G51">
        <v>4</v>
      </c>
      <c r="H51">
        <v>22.64</v>
      </c>
      <c r="I51">
        <v>14.14</v>
      </c>
      <c r="J51">
        <v>11.14</v>
      </c>
      <c r="K51">
        <v>4</v>
      </c>
      <c r="L51">
        <v>15.97</v>
      </c>
      <c r="M51">
        <v>7.47</v>
      </c>
      <c r="N51">
        <v>4.47</v>
      </c>
      <c r="O51" s="19">
        <f t="shared" si="0"/>
        <v>0.5</v>
      </c>
      <c r="R51" s="1" t="s">
        <v>1467</v>
      </c>
      <c r="S51" s="24">
        <f>AVERAGE(M$182:M$201)</f>
        <v>-0.65</v>
      </c>
      <c r="T51" s="25"/>
      <c r="U51" s="24">
        <f>AVERAGE(M$202:M$221)</f>
        <v>3.5</v>
      </c>
      <c r="V51" s="25"/>
      <c r="W51" s="24">
        <f>AVERAGE(M$222:M$241)</f>
        <v>7.4954999999999998</v>
      </c>
      <c r="X51" s="25"/>
    </row>
    <row r="52" spans="1:24" x14ac:dyDescent="0.25">
      <c r="A52" s="39"/>
      <c r="B52" s="41"/>
      <c r="C52" t="s">
        <v>60</v>
      </c>
      <c r="D52" t="s">
        <v>271</v>
      </c>
      <c r="E52" s="3">
        <f t="shared" si="1"/>
        <v>2</v>
      </c>
      <c r="F52">
        <v>75.209999999999994</v>
      </c>
      <c r="G52">
        <v>4</v>
      </c>
      <c r="H52">
        <v>22.64</v>
      </c>
      <c r="I52">
        <v>14.14</v>
      </c>
      <c r="J52">
        <v>11.14</v>
      </c>
      <c r="K52">
        <v>4</v>
      </c>
      <c r="L52">
        <v>15.52</v>
      </c>
      <c r="M52">
        <v>7.02</v>
      </c>
      <c r="N52">
        <v>4.0199999999999996</v>
      </c>
      <c r="O52" s="19">
        <f t="shared" si="0"/>
        <v>0.5</v>
      </c>
      <c r="R52" s="1" t="s">
        <v>1468</v>
      </c>
      <c r="S52" s="24">
        <f>AVERAGE(N$182:N$201)</f>
        <v>-3.65</v>
      </c>
      <c r="T52" s="25"/>
      <c r="U52" s="24">
        <f>AVERAGE(N$202:N$221)</f>
        <v>0.5</v>
      </c>
      <c r="V52" s="25"/>
      <c r="W52" s="24">
        <f>AVERAGE(N$222:N$241)</f>
        <v>4.4954999999999998</v>
      </c>
      <c r="X52" s="25"/>
    </row>
    <row r="53" spans="1:24" x14ac:dyDescent="0.25">
      <c r="A53" s="39"/>
      <c r="B53" s="41"/>
      <c r="C53" t="s">
        <v>61</v>
      </c>
      <c r="D53" t="s">
        <v>271</v>
      </c>
      <c r="E53" s="3">
        <f t="shared" si="1"/>
        <v>2</v>
      </c>
      <c r="F53">
        <v>75.209999999999994</v>
      </c>
      <c r="G53">
        <v>4</v>
      </c>
      <c r="H53">
        <v>22.64</v>
      </c>
      <c r="I53">
        <v>14.14</v>
      </c>
      <c r="J53">
        <v>11.14</v>
      </c>
      <c r="K53">
        <v>4</v>
      </c>
      <c r="L53">
        <v>16</v>
      </c>
      <c r="M53">
        <v>7.5</v>
      </c>
      <c r="N53">
        <v>4.5</v>
      </c>
      <c r="O53" s="19">
        <f t="shared" si="0"/>
        <v>0.5</v>
      </c>
    </row>
    <row r="54" spans="1:24" x14ac:dyDescent="0.25">
      <c r="A54" s="39"/>
      <c r="B54" s="41"/>
      <c r="C54" t="s">
        <v>62</v>
      </c>
      <c r="D54" t="s">
        <v>51</v>
      </c>
      <c r="E54" s="3">
        <f t="shared" si="1"/>
        <v>3</v>
      </c>
      <c r="F54">
        <v>75.209999999999994</v>
      </c>
      <c r="G54">
        <v>4</v>
      </c>
      <c r="H54">
        <v>22.64</v>
      </c>
      <c r="I54">
        <v>14.14</v>
      </c>
      <c r="J54">
        <v>11.14</v>
      </c>
      <c r="K54">
        <v>4</v>
      </c>
      <c r="L54">
        <v>16</v>
      </c>
      <c r="M54">
        <v>7.5</v>
      </c>
      <c r="N54">
        <v>4.5</v>
      </c>
      <c r="O54" s="19">
        <f t="shared" si="0"/>
        <v>0.75</v>
      </c>
      <c r="R54" s="37"/>
      <c r="S54" s="38"/>
      <c r="T54" s="38"/>
      <c r="U54" s="38"/>
      <c r="V54" s="38"/>
      <c r="W54" s="38"/>
      <c r="X54" s="26"/>
    </row>
    <row r="55" spans="1:24" x14ac:dyDescent="0.25">
      <c r="A55" s="39"/>
      <c r="B55" s="41"/>
      <c r="C55" t="s">
        <v>63</v>
      </c>
      <c r="D55" t="s">
        <v>271</v>
      </c>
      <c r="E55" s="3">
        <f t="shared" si="1"/>
        <v>2</v>
      </c>
      <c r="F55">
        <v>75.209999999999994</v>
      </c>
      <c r="G55">
        <v>4</v>
      </c>
      <c r="H55">
        <v>22.64</v>
      </c>
      <c r="I55">
        <v>14.14</v>
      </c>
      <c r="J55">
        <v>11.14</v>
      </c>
      <c r="K55">
        <v>4</v>
      </c>
      <c r="L55">
        <v>16</v>
      </c>
      <c r="M55">
        <v>7.5</v>
      </c>
      <c r="N55">
        <v>4.5</v>
      </c>
      <c r="O55" s="19">
        <f t="shared" si="0"/>
        <v>0.5</v>
      </c>
      <c r="R55" s="1"/>
      <c r="S55" s="30" t="s">
        <v>1460</v>
      </c>
      <c r="T55" s="30"/>
      <c r="U55" s="30" t="s">
        <v>1461</v>
      </c>
      <c r="V55" s="30"/>
      <c r="W55" s="30" t="s">
        <v>1462</v>
      </c>
      <c r="X55" s="30"/>
    </row>
    <row r="56" spans="1:24" x14ac:dyDescent="0.25">
      <c r="A56" s="39"/>
      <c r="B56" s="41"/>
      <c r="C56" t="s">
        <v>64</v>
      </c>
      <c r="D56" t="s">
        <v>51</v>
      </c>
      <c r="E56" s="3">
        <f t="shared" si="1"/>
        <v>3</v>
      </c>
      <c r="F56">
        <v>75.209999999999994</v>
      </c>
      <c r="G56">
        <v>4</v>
      </c>
      <c r="H56">
        <v>22.64</v>
      </c>
      <c r="I56">
        <v>14.14</v>
      </c>
      <c r="J56">
        <v>11.14</v>
      </c>
      <c r="K56">
        <v>4</v>
      </c>
      <c r="L56">
        <v>16</v>
      </c>
      <c r="M56">
        <v>7.5</v>
      </c>
      <c r="N56">
        <v>4.5</v>
      </c>
      <c r="O56" s="19">
        <f t="shared" si="0"/>
        <v>0.75</v>
      </c>
      <c r="Q56" s="32" t="s">
        <v>0</v>
      </c>
      <c r="R56" s="1" t="s">
        <v>1488</v>
      </c>
      <c r="S56" s="35">
        <v>2</v>
      </c>
      <c r="T56" s="36"/>
      <c r="U56" s="35">
        <v>2</v>
      </c>
      <c r="V56" s="26"/>
      <c r="W56" s="35">
        <v>3</v>
      </c>
      <c r="X56" s="26"/>
    </row>
    <row r="57" spans="1:24" x14ac:dyDescent="0.25">
      <c r="A57" s="39"/>
      <c r="B57" s="41"/>
      <c r="C57" t="s">
        <v>65</v>
      </c>
      <c r="D57" t="s">
        <v>271</v>
      </c>
      <c r="E57" s="3">
        <f t="shared" si="1"/>
        <v>2</v>
      </c>
      <c r="F57">
        <v>75.209999999999994</v>
      </c>
      <c r="G57">
        <v>4</v>
      </c>
      <c r="H57">
        <v>22.64</v>
      </c>
      <c r="I57">
        <v>14.14</v>
      </c>
      <c r="J57">
        <v>11.14</v>
      </c>
      <c r="K57">
        <v>4</v>
      </c>
      <c r="L57">
        <v>16</v>
      </c>
      <c r="M57">
        <v>7.5</v>
      </c>
      <c r="N57">
        <v>4.5</v>
      </c>
      <c r="O57" s="19">
        <f t="shared" si="0"/>
        <v>0.5</v>
      </c>
      <c r="Q57" s="33"/>
      <c r="R57" s="1" t="s">
        <v>1512</v>
      </c>
      <c r="S57" s="35">
        <v>2</v>
      </c>
      <c r="T57" s="26"/>
      <c r="U57" s="35">
        <v>4</v>
      </c>
      <c r="V57" s="26"/>
      <c r="W57" s="35">
        <v>4</v>
      </c>
      <c r="X57" s="26"/>
    </row>
    <row r="58" spans="1:24" x14ac:dyDescent="0.25">
      <c r="A58" s="39"/>
      <c r="B58" s="41"/>
      <c r="C58" t="s">
        <v>66</v>
      </c>
      <c r="D58" t="s">
        <v>51</v>
      </c>
      <c r="E58" s="3">
        <f t="shared" si="1"/>
        <v>3</v>
      </c>
      <c r="F58">
        <v>75.209999999999994</v>
      </c>
      <c r="G58">
        <v>4</v>
      </c>
      <c r="H58">
        <v>22.64</v>
      </c>
      <c r="I58">
        <v>14.14</v>
      </c>
      <c r="J58">
        <v>11.14</v>
      </c>
      <c r="K58">
        <v>4</v>
      </c>
      <c r="L58">
        <v>16</v>
      </c>
      <c r="M58">
        <v>7.5</v>
      </c>
      <c r="N58">
        <v>4.5</v>
      </c>
      <c r="O58" s="19">
        <f t="shared" si="0"/>
        <v>0.75</v>
      </c>
      <c r="Q58" s="34"/>
      <c r="R58" s="1" t="s">
        <v>1463</v>
      </c>
      <c r="S58" s="35">
        <v>4</v>
      </c>
      <c r="T58" s="26"/>
      <c r="U58" s="35">
        <v>4</v>
      </c>
      <c r="V58" s="26"/>
      <c r="W58" s="35">
        <v>4</v>
      </c>
      <c r="X58" s="26"/>
    </row>
    <row r="59" spans="1:24" x14ac:dyDescent="0.25">
      <c r="A59" s="39"/>
      <c r="B59" s="41"/>
      <c r="C59" t="s">
        <v>67</v>
      </c>
      <c r="D59" t="s">
        <v>271</v>
      </c>
      <c r="E59" s="3">
        <f t="shared" si="1"/>
        <v>2</v>
      </c>
      <c r="F59">
        <v>75.209999999999994</v>
      </c>
      <c r="G59">
        <v>4</v>
      </c>
      <c r="H59">
        <v>22.64</v>
      </c>
      <c r="I59">
        <v>14.14</v>
      </c>
      <c r="J59">
        <v>11.14</v>
      </c>
      <c r="K59">
        <v>4</v>
      </c>
      <c r="L59">
        <v>15.59</v>
      </c>
      <c r="M59">
        <v>7.09</v>
      </c>
      <c r="N59">
        <v>4.09</v>
      </c>
      <c r="O59" s="19">
        <f t="shared" si="0"/>
        <v>0.5</v>
      </c>
      <c r="Q59" s="32" t="s">
        <v>1</v>
      </c>
      <c r="R59" s="1" t="s">
        <v>1488</v>
      </c>
      <c r="S59" s="35">
        <f>AVERAGE(E$62:E$81)</f>
        <v>2</v>
      </c>
      <c r="T59" s="36"/>
      <c r="U59" s="35">
        <f>AVERAGE(E$82:E$101)</f>
        <v>2</v>
      </c>
      <c r="V59" s="26"/>
      <c r="W59" s="35">
        <f>AVERAGE(E$102:E$121)</f>
        <v>3</v>
      </c>
      <c r="X59" s="26"/>
    </row>
    <row r="60" spans="1:24" x14ac:dyDescent="0.25">
      <c r="A60" s="39"/>
      <c r="B60" s="41"/>
      <c r="C60" t="s">
        <v>68</v>
      </c>
      <c r="D60" t="s">
        <v>271</v>
      </c>
      <c r="E60" s="3">
        <f t="shared" si="1"/>
        <v>2</v>
      </c>
      <c r="F60">
        <v>75.209999999999994</v>
      </c>
      <c r="G60">
        <v>4</v>
      </c>
      <c r="H60">
        <v>22.64</v>
      </c>
      <c r="I60">
        <v>14.14</v>
      </c>
      <c r="J60">
        <v>11.14</v>
      </c>
      <c r="K60">
        <v>4</v>
      </c>
      <c r="L60">
        <v>15.67</v>
      </c>
      <c r="M60">
        <v>7.17</v>
      </c>
      <c r="N60">
        <v>4.17</v>
      </c>
      <c r="O60" s="19">
        <f t="shared" si="0"/>
        <v>0.5</v>
      </c>
      <c r="Q60" s="33"/>
      <c r="R60" s="1" t="s">
        <v>1512</v>
      </c>
      <c r="S60" s="35">
        <v>2</v>
      </c>
      <c r="T60" s="36"/>
      <c r="U60" s="35">
        <v>4</v>
      </c>
      <c r="V60" s="36"/>
      <c r="W60" s="35">
        <v>4</v>
      </c>
      <c r="X60" s="36"/>
    </row>
    <row r="61" spans="1:24" x14ac:dyDescent="0.25">
      <c r="A61" s="39"/>
      <c r="B61" s="42"/>
      <c r="C61" s="10" t="s">
        <v>69</v>
      </c>
      <c r="D61" s="10" t="s">
        <v>51</v>
      </c>
      <c r="E61" s="11">
        <f t="shared" si="1"/>
        <v>3</v>
      </c>
      <c r="F61" s="10">
        <v>75.209999999999994</v>
      </c>
      <c r="G61" s="10">
        <v>4</v>
      </c>
      <c r="H61" s="10">
        <v>22.64</v>
      </c>
      <c r="I61" s="10">
        <v>14.14</v>
      </c>
      <c r="J61" s="10">
        <v>11.14</v>
      </c>
      <c r="K61" s="10">
        <v>4</v>
      </c>
      <c r="L61" s="10">
        <v>16</v>
      </c>
      <c r="M61" s="10">
        <v>7.5</v>
      </c>
      <c r="N61" s="10">
        <v>4.5</v>
      </c>
      <c r="O61" s="20">
        <f t="shared" si="0"/>
        <v>0.75</v>
      </c>
      <c r="Q61" s="34"/>
      <c r="R61" s="1" t="s">
        <v>1463</v>
      </c>
      <c r="S61" s="35">
        <f>AVERAGE(G$62:G$81)</f>
        <v>4</v>
      </c>
      <c r="T61" s="36"/>
      <c r="U61" s="35">
        <f>AVERAGE(G$82:G$101)</f>
        <v>4</v>
      </c>
      <c r="V61" s="36"/>
      <c r="W61" s="35">
        <f>AVERAGE(G$102:G$121)</f>
        <v>4</v>
      </c>
      <c r="X61" s="36"/>
    </row>
    <row r="62" spans="1:24" x14ac:dyDescent="0.25">
      <c r="A62" s="39" t="s">
        <v>1</v>
      </c>
      <c r="B62" s="40" t="s">
        <v>4</v>
      </c>
      <c r="C62" s="7" t="s">
        <v>70</v>
      </c>
      <c r="D62" s="7" t="s">
        <v>271</v>
      </c>
      <c r="E62" s="3">
        <f t="shared" si="1"/>
        <v>2</v>
      </c>
      <c r="F62" s="7">
        <v>45.6</v>
      </c>
      <c r="G62" s="7">
        <v>4</v>
      </c>
      <c r="H62" s="7">
        <v>13.73</v>
      </c>
      <c r="I62" s="7">
        <v>5.23</v>
      </c>
      <c r="J62" s="7">
        <v>2.23</v>
      </c>
      <c r="K62" s="7">
        <v>2</v>
      </c>
      <c r="L62" s="7">
        <v>8</v>
      </c>
      <c r="M62" s="7">
        <v>-0.5</v>
      </c>
      <c r="N62" s="7">
        <v>-3.5</v>
      </c>
      <c r="O62" s="18">
        <f t="shared" si="0"/>
        <v>1</v>
      </c>
      <c r="Q62" s="32" t="s">
        <v>2</v>
      </c>
      <c r="R62" s="1" t="s">
        <v>1488</v>
      </c>
      <c r="S62" s="35">
        <v>2</v>
      </c>
      <c r="T62" s="36"/>
      <c r="U62" s="35">
        <v>2.4500000000000002</v>
      </c>
      <c r="V62" s="26"/>
      <c r="W62" s="35">
        <v>3.5</v>
      </c>
      <c r="X62" s="26"/>
    </row>
    <row r="63" spans="1:24" x14ac:dyDescent="0.25">
      <c r="A63" s="39"/>
      <c r="B63" s="41"/>
      <c r="C63" t="s">
        <v>71</v>
      </c>
      <c r="D63" t="s">
        <v>271</v>
      </c>
      <c r="E63" s="3">
        <f t="shared" si="1"/>
        <v>2</v>
      </c>
      <c r="F63">
        <v>45.6</v>
      </c>
      <c r="G63">
        <v>4</v>
      </c>
      <c r="H63">
        <v>13.73</v>
      </c>
      <c r="I63">
        <v>5.23</v>
      </c>
      <c r="J63">
        <v>2.23</v>
      </c>
      <c r="K63">
        <v>2</v>
      </c>
      <c r="L63">
        <v>8</v>
      </c>
      <c r="M63">
        <v>-0.5</v>
      </c>
      <c r="N63">
        <v>-3.5</v>
      </c>
      <c r="O63" s="19">
        <f t="shared" si="0"/>
        <v>1</v>
      </c>
      <c r="Q63" s="33"/>
      <c r="R63" s="1" t="s">
        <v>1512</v>
      </c>
      <c r="S63" s="35">
        <v>2</v>
      </c>
      <c r="T63" s="36"/>
      <c r="U63" s="35">
        <v>4</v>
      </c>
      <c r="V63" s="26"/>
      <c r="W63" s="35">
        <v>4</v>
      </c>
      <c r="X63" s="26"/>
    </row>
    <row r="64" spans="1:24" x14ac:dyDescent="0.25">
      <c r="A64" s="39"/>
      <c r="B64" s="41"/>
      <c r="C64" t="s">
        <v>72</v>
      </c>
      <c r="D64" t="s">
        <v>271</v>
      </c>
      <c r="E64" s="3">
        <f t="shared" si="1"/>
        <v>2</v>
      </c>
      <c r="F64">
        <v>45.6</v>
      </c>
      <c r="G64">
        <v>4</v>
      </c>
      <c r="H64">
        <v>13.73</v>
      </c>
      <c r="I64">
        <v>5.23</v>
      </c>
      <c r="J64">
        <v>2.23</v>
      </c>
      <c r="K64">
        <v>2</v>
      </c>
      <c r="L64">
        <v>8</v>
      </c>
      <c r="M64">
        <v>-0.5</v>
      </c>
      <c r="N64">
        <v>-3.5</v>
      </c>
      <c r="O64" s="19">
        <f t="shared" si="0"/>
        <v>1</v>
      </c>
      <c r="Q64" s="34"/>
      <c r="R64" s="1" t="s">
        <v>1463</v>
      </c>
      <c r="S64" s="35">
        <v>4</v>
      </c>
      <c r="T64" s="36"/>
      <c r="U64" s="35">
        <v>4</v>
      </c>
      <c r="V64" s="26"/>
      <c r="W64" s="35">
        <v>4</v>
      </c>
      <c r="X64" s="26"/>
    </row>
    <row r="65" spans="1:24" x14ac:dyDescent="0.25">
      <c r="A65" s="39"/>
      <c r="B65" s="41"/>
      <c r="C65" t="s">
        <v>73</v>
      </c>
      <c r="D65" t="s">
        <v>271</v>
      </c>
      <c r="E65" s="3">
        <f t="shared" si="1"/>
        <v>2</v>
      </c>
      <c r="F65">
        <v>37.6</v>
      </c>
      <c r="G65">
        <v>4</v>
      </c>
      <c r="H65">
        <v>11.32</v>
      </c>
      <c r="I65">
        <v>2.82</v>
      </c>
      <c r="J65">
        <v>-0.18</v>
      </c>
      <c r="K65">
        <v>2</v>
      </c>
      <c r="L65">
        <v>8</v>
      </c>
      <c r="M65">
        <v>-0.5</v>
      </c>
      <c r="N65">
        <v>-3.5</v>
      </c>
      <c r="O65" s="19">
        <f t="shared" si="0"/>
        <v>1</v>
      </c>
      <c r="Q65" s="32" t="s">
        <v>1491</v>
      </c>
      <c r="R65" s="1" t="s">
        <v>1488</v>
      </c>
      <c r="S65" s="35">
        <f>AVERAGE(E$182:E$201)</f>
        <v>2</v>
      </c>
      <c r="T65" s="36"/>
      <c r="U65" s="35">
        <f>AVERAGE(E$202:E$221)</f>
        <v>2.8</v>
      </c>
      <c r="V65" s="26"/>
      <c r="W65" s="35">
        <f>AVERAGE(E$222:E$241)</f>
        <v>4</v>
      </c>
      <c r="X65" s="26"/>
    </row>
    <row r="66" spans="1:24" x14ac:dyDescent="0.25">
      <c r="A66" s="39"/>
      <c r="B66" s="41"/>
      <c r="C66" t="s">
        <v>74</v>
      </c>
      <c r="D66" t="s">
        <v>271</v>
      </c>
      <c r="E66" s="3">
        <f t="shared" si="1"/>
        <v>2</v>
      </c>
      <c r="F66">
        <v>45.6</v>
      </c>
      <c r="G66">
        <v>4</v>
      </c>
      <c r="H66">
        <v>13.73</v>
      </c>
      <c r="I66">
        <v>5.23</v>
      </c>
      <c r="J66">
        <v>2.23</v>
      </c>
      <c r="K66">
        <v>2</v>
      </c>
      <c r="L66">
        <v>8</v>
      </c>
      <c r="M66">
        <v>-0.5</v>
      </c>
      <c r="N66">
        <v>-3.5</v>
      </c>
      <c r="O66" s="19">
        <f t="shared" si="0"/>
        <v>1</v>
      </c>
      <c r="Q66" s="33"/>
      <c r="R66" s="1" t="s">
        <v>1512</v>
      </c>
      <c r="S66" s="35">
        <v>1.95</v>
      </c>
      <c r="T66" s="36"/>
      <c r="U66" s="35">
        <v>4</v>
      </c>
      <c r="V66" s="26"/>
      <c r="W66" s="35">
        <v>4</v>
      </c>
      <c r="X66" s="26"/>
    </row>
    <row r="67" spans="1:24" x14ac:dyDescent="0.25">
      <c r="A67" s="39"/>
      <c r="B67" s="41"/>
      <c r="C67" t="s">
        <v>75</v>
      </c>
      <c r="D67" t="s">
        <v>271</v>
      </c>
      <c r="E67" s="3">
        <f t="shared" si="1"/>
        <v>2</v>
      </c>
      <c r="F67">
        <v>45.6</v>
      </c>
      <c r="G67">
        <v>4</v>
      </c>
      <c r="H67">
        <v>13.73</v>
      </c>
      <c r="I67">
        <v>5.23</v>
      </c>
      <c r="J67">
        <v>2.23</v>
      </c>
      <c r="K67">
        <v>2</v>
      </c>
      <c r="L67">
        <v>8</v>
      </c>
      <c r="M67">
        <v>-0.5</v>
      </c>
      <c r="N67">
        <v>-3.5</v>
      </c>
      <c r="O67" s="19">
        <f t="shared" ref="O67:O130" si="2">E67/K67</f>
        <v>1</v>
      </c>
      <c r="Q67" s="34"/>
      <c r="R67" s="1" t="s">
        <v>1463</v>
      </c>
      <c r="S67" s="35">
        <f>AVERAGE(G$182:G$201)</f>
        <v>4</v>
      </c>
      <c r="T67" s="36"/>
      <c r="U67" s="35">
        <f>AVERAGE(G$202:G$221)</f>
        <v>4</v>
      </c>
      <c r="V67" s="26"/>
      <c r="W67" s="35">
        <f>AVERAGE(G$222:G$241)</f>
        <v>4</v>
      </c>
      <c r="X67" s="26"/>
    </row>
    <row r="68" spans="1:24" x14ac:dyDescent="0.25">
      <c r="A68" s="39"/>
      <c r="B68" s="41"/>
      <c r="C68" t="s">
        <v>76</v>
      </c>
      <c r="D68" t="s">
        <v>271</v>
      </c>
      <c r="E68" s="3">
        <f t="shared" ref="E68:E131" si="3">IF(D68="Muito Fraca", 1, IF(D68="Fraca", 2, IF(D68="Média", 3, 4)))</f>
        <v>2</v>
      </c>
      <c r="F68">
        <v>45.6</v>
      </c>
      <c r="G68">
        <v>4</v>
      </c>
      <c r="H68">
        <v>13.73</v>
      </c>
      <c r="I68">
        <v>5.23</v>
      </c>
      <c r="J68">
        <v>2.23</v>
      </c>
      <c r="K68">
        <v>2</v>
      </c>
      <c r="L68">
        <v>8</v>
      </c>
      <c r="M68">
        <v>-0.5</v>
      </c>
      <c r="N68">
        <v>-3.5</v>
      </c>
      <c r="O68" s="19">
        <f t="shared" si="2"/>
        <v>1</v>
      </c>
    </row>
    <row r="69" spans="1:24" x14ac:dyDescent="0.25">
      <c r="A69" s="39"/>
      <c r="B69" s="41"/>
      <c r="C69" t="s">
        <v>77</v>
      </c>
      <c r="D69" t="s">
        <v>271</v>
      </c>
      <c r="E69" s="3">
        <f t="shared" si="3"/>
        <v>2</v>
      </c>
      <c r="F69">
        <v>45.6</v>
      </c>
      <c r="G69">
        <v>4</v>
      </c>
      <c r="H69">
        <v>13.73</v>
      </c>
      <c r="I69">
        <v>5.23</v>
      </c>
      <c r="J69">
        <v>2.23</v>
      </c>
      <c r="K69">
        <v>2</v>
      </c>
      <c r="L69">
        <v>8</v>
      </c>
      <c r="M69">
        <v>-0.5</v>
      </c>
      <c r="N69">
        <v>-3.5</v>
      </c>
      <c r="O69" s="19">
        <f t="shared" si="2"/>
        <v>1</v>
      </c>
      <c r="S69" s="37" t="s">
        <v>1460</v>
      </c>
      <c r="T69" s="26"/>
      <c r="U69" s="37" t="s">
        <v>1461</v>
      </c>
      <c r="V69" s="26"/>
      <c r="W69" s="37" t="s">
        <v>1462</v>
      </c>
      <c r="X69" s="26"/>
    </row>
    <row r="70" spans="1:24" ht="15" customHeight="1" x14ac:dyDescent="0.25">
      <c r="A70" s="39"/>
      <c r="B70" s="41"/>
      <c r="C70" t="s">
        <v>78</v>
      </c>
      <c r="D70" t="s">
        <v>271</v>
      </c>
      <c r="E70" s="3">
        <f t="shared" si="3"/>
        <v>2</v>
      </c>
      <c r="F70">
        <v>45.6</v>
      </c>
      <c r="G70">
        <v>4</v>
      </c>
      <c r="H70">
        <v>13.73</v>
      </c>
      <c r="I70">
        <v>5.23</v>
      </c>
      <c r="J70">
        <v>2.23</v>
      </c>
      <c r="K70">
        <v>2</v>
      </c>
      <c r="L70">
        <v>8</v>
      </c>
      <c r="M70">
        <v>-0.5</v>
      </c>
      <c r="N70">
        <v>-3.5</v>
      </c>
      <c r="O70" s="19">
        <f t="shared" si="2"/>
        <v>1</v>
      </c>
      <c r="Q70" s="49" t="s">
        <v>0</v>
      </c>
      <c r="R70" s="1" t="s">
        <v>1493</v>
      </c>
      <c r="S70" s="24">
        <f>AVERAGE(L$2:L$21)</f>
        <v>7.9349999999999996</v>
      </c>
      <c r="T70" s="25"/>
      <c r="U70" s="24">
        <f>AVERAGE(L$22:L$41)</f>
        <v>11.897</v>
      </c>
      <c r="V70" s="25"/>
      <c r="W70" s="24">
        <f>AVERAGE(L$42:L$61)</f>
        <v>15.9335</v>
      </c>
      <c r="X70" s="25"/>
    </row>
    <row r="71" spans="1:24" x14ac:dyDescent="0.25">
      <c r="A71" s="39"/>
      <c r="B71" s="41"/>
      <c r="C71" t="s">
        <v>79</v>
      </c>
      <c r="D71" t="s">
        <v>271</v>
      </c>
      <c r="E71" s="3">
        <f t="shared" si="3"/>
        <v>2</v>
      </c>
      <c r="F71">
        <v>45.6</v>
      </c>
      <c r="G71">
        <v>4</v>
      </c>
      <c r="H71">
        <v>13.73</v>
      </c>
      <c r="I71">
        <v>5.23</v>
      </c>
      <c r="J71">
        <v>2.23</v>
      </c>
      <c r="K71">
        <v>2</v>
      </c>
      <c r="L71">
        <v>8</v>
      </c>
      <c r="M71">
        <v>-0.5</v>
      </c>
      <c r="N71">
        <v>-3.5</v>
      </c>
      <c r="O71" s="19">
        <f t="shared" si="2"/>
        <v>1</v>
      </c>
      <c r="Q71" s="49"/>
      <c r="R71" s="1" t="s">
        <v>1467</v>
      </c>
      <c r="S71" s="24">
        <f>AVERAGE(M$2:M$21)</f>
        <v>-0.56500000000000006</v>
      </c>
      <c r="T71" s="25"/>
      <c r="U71" s="24">
        <f>AVERAGE(M$22:M$41)</f>
        <v>3.3969999999999998</v>
      </c>
      <c r="V71" s="25"/>
      <c r="W71" s="24">
        <f>AVERAGE(M$42:M$61)</f>
        <v>7.4339999999999993</v>
      </c>
      <c r="X71" s="25"/>
    </row>
    <row r="72" spans="1:24" x14ac:dyDescent="0.25">
      <c r="A72" s="39"/>
      <c r="B72" s="41"/>
      <c r="C72" t="s">
        <v>80</v>
      </c>
      <c r="D72" t="s">
        <v>271</v>
      </c>
      <c r="E72" s="3">
        <f t="shared" si="3"/>
        <v>2</v>
      </c>
      <c r="F72">
        <v>45.6</v>
      </c>
      <c r="G72">
        <v>4</v>
      </c>
      <c r="H72">
        <v>13.73</v>
      </c>
      <c r="I72">
        <v>5.23</v>
      </c>
      <c r="J72">
        <v>2.23</v>
      </c>
      <c r="K72">
        <v>2</v>
      </c>
      <c r="L72">
        <v>8</v>
      </c>
      <c r="M72">
        <v>-0.5</v>
      </c>
      <c r="N72">
        <v>-3.5</v>
      </c>
      <c r="O72" s="19">
        <f t="shared" si="2"/>
        <v>1</v>
      </c>
      <c r="Q72" s="49"/>
      <c r="R72" s="1" t="s">
        <v>1468</v>
      </c>
      <c r="S72" s="24">
        <f>AVERAGE(N$2:N$21)</f>
        <v>-3.5649999999999999</v>
      </c>
      <c r="T72" s="25"/>
      <c r="U72" s="24">
        <f>AVERAGE(N$22:N$41)</f>
        <v>0.39699999999999996</v>
      </c>
      <c r="V72" s="25"/>
      <c r="W72" s="24">
        <f>AVERAGE(N$42:N$61)</f>
        <v>4.4340000000000002</v>
      </c>
      <c r="X72" s="25"/>
    </row>
    <row r="73" spans="1:24" x14ac:dyDescent="0.25">
      <c r="A73" s="39"/>
      <c r="B73" s="41"/>
      <c r="C73" t="s">
        <v>81</v>
      </c>
      <c r="D73" t="s">
        <v>271</v>
      </c>
      <c r="E73" s="3">
        <f t="shared" si="3"/>
        <v>2</v>
      </c>
      <c r="F73">
        <v>45.6</v>
      </c>
      <c r="G73">
        <v>4</v>
      </c>
      <c r="H73">
        <v>13.73</v>
      </c>
      <c r="I73">
        <v>5.23</v>
      </c>
      <c r="J73">
        <v>2.23</v>
      </c>
      <c r="K73">
        <v>2</v>
      </c>
      <c r="L73">
        <v>8</v>
      </c>
      <c r="M73">
        <v>-0.5</v>
      </c>
      <c r="N73">
        <v>-3.5</v>
      </c>
      <c r="O73" s="19">
        <f t="shared" si="2"/>
        <v>1</v>
      </c>
      <c r="Q73" s="49"/>
      <c r="R73" s="1" t="s">
        <v>1464</v>
      </c>
      <c r="S73" s="24">
        <f>AVERAGE(H$2:H$21)</f>
        <v>11.319999999999997</v>
      </c>
      <c r="T73" s="25"/>
      <c r="U73" s="24">
        <f>AVERAGE(H$22:H$41)</f>
        <v>16.98</v>
      </c>
      <c r="V73" s="25"/>
      <c r="W73" s="24">
        <f>AVERAGE(H$42:H$61)</f>
        <v>22.639999999999993</v>
      </c>
      <c r="X73" s="25"/>
    </row>
    <row r="74" spans="1:24" x14ac:dyDescent="0.25">
      <c r="A74" s="39"/>
      <c r="B74" s="41"/>
      <c r="C74" t="s">
        <v>82</v>
      </c>
      <c r="D74" t="s">
        <v>271</v>
      </c>
      <c r="E74" s="3">
        <f t="shared" si="3"/>
        <v>2</v>
      </c>
      <c r="F74">
        <v>45.6</v>
      </c>
      <c r="G74">
        <v>4</v>
      </c>
      <c r="H74">
        <v>13.73</v>
      </c>
      <c r="I74">
        <v>5.23</v>
      </c>
      <c r="J74">
        <v>2.23</v>
      </c>
      <c r="K74">
        <v>2</v>
      </c>
      <c r="L74">
        <v>8</v>
      </c>
      <c r="M74">
        <v>-0.5</v>
      </c>
      <c r="N74">
        <v>-3.5</v>
      </c>
      <c r="O74" s="19">
        <f t="shared" si="2"/>
        <v>1</v>
      </c>
      <c r="Q74" s="49"/>
      <c r="R74" s="1" t="s">
        <v>1465</v>
      </c>
      <c r="S74" s="24">
        <f>AVERAGE(I$2:I$21)</f>
        <v>2.82</v>
      </c>
      <c r="T74" s="25"/>
      <c r="U74" s="24">
        <f>AVERAGE(I$22:I$41)</f>
        <v>8.48</v>
      </c>
      <c r="V74" s="25"/>
      <c r="W74" s="24">
        <f>AVERAGE(I$42:I$61)</f>
        <v>14.139999999999995</v>
      </c>
      <c r="X74" s="25"/>
    </row>
    <row r="75" spans="1:24" x14ac:dyDescent="0.25">
      <c r="A75" s="39"/>
      <c r="B75" s="41"/>
      <c r="C75" t="s">
        <v>83</v>
      </c>
      <c r="D75" t="s">
        <v>271</v>
      </c>
      <c r="E75" s="3">
        <f t="shared" si="3"/>
        <v>2</v>
      </c>
      <c r="F75">
        <v>45.6</v>
      </c>
      <c r="G75">
        <v>4</v>
      </c>
      <c r="H75">
        <v>13.73</v>
      </c>
      <c r="I75">
        <v>5.23</v>
      </c>
      <c r="J75">
        <v>2.23</v>
      </c>
      <c r="K75">
        <v>2</v>
      </c>
      <c r="L75">
        <v>8</v>
      </c>
      <c r="M75">
        <v>-0.5</v>
      </c>
      <c r="N75">
        <v>-3.5</v>
      </c>
      <c r="O75" s="19">
        <f t="shared" si="2"/>
        <v>1</v>
      </c>
      <c r="Q75" s="49"/>
      <c r="R75" s="1" t="s">
        <v>1466</v>
      </c>
      <c r="S75" s="24">
        <f>AVERAGE(J$2:J$21)</f>
        <v>-0.18000000000000005</v>
      </c>
      <c r="T75" s="25"/>
      <c r="U75" s="24">
        <f>AVERAGE(J$22:J$41)</f>
        <v>5.4800000000000022</v>
      </c>
      <c r="V75" s="25"/>
      <c r="W75" s="24">
        <f>AVERAGE(J$42:J$61)</f>
        <v>11.139999999999995</v>
      </c>
      <c r="X75" s="25"/>
    </row>
    <row r="76" spans="1:24" ht="15" customHeight="1" x14ac:dyDescent="0.25">
      <c r="A76" s="39"/>
      <c r="B76" s="41"/>
      <c r="C76" t="s">
        <v>84</v>
      </c>
      <c r="D76" t="s">
        <v>271</v>
      </c>
      <c r="E76" s="3">
        <f t="shared" si="3"/>
        <v>2</v>
      </c>
      <c r="F76">
        <v>45.6</v>
      </c>
      <c r="G76">
        <v>4</v>
      </c>
      <c r="H76">
        <v>13.73</v>
      </c>
      <c r="I76">
        <v>5.23</v>
      </c>
      <c r="J76">
        <v>2.23</v>
      </c>
      <c r="K76">
        <v>2</v>
      </c>
      <c r="L76">
        <v>8</v>
      </c>
      <c r="M76">
        <v>-0.5</v>
      </c>
      <c r="N76">
        <v>-3.5</v>
      </c>
      <c r="O76" s="19">
        <f t="shared" si="2"/>
        <v>1</v>
      </c>
      <c r="Q76" s="48" t="s">
        <v>1</v>
      </c>
      <c r="R76" s="1" t="s">
        <v>1493</v>
      </c>
      <c r="S76" s="24">
        <f>AVERAGE(L$62:L$81)</f>
        <v>8</v>
      </c>
      <c r="T76" s="25"/>
      <c r="U76" s="24">
        <f>AVERAGE(L$82:L$101)</f>
        <v>11.9085</v>
      </c>
      <c r="V76" s="25"/>
      <c r="W76" s="24">
        <f>AVERAGE(L$102:L$121)</f>
        <v>15.9505</v>
      </c>
      <c r="X76" s="25"/>
    </row>
    <row r="77" spans="1:24" x14ac:dyDescent="0.25">
      <c r="A77" s="39"/>
      <c r="B77" s="41"/>
      <c r="C77" t="s">
        <v>85</v>
      </c>
      <c r="D77" t="s">
        <v>271</v>
      </c>
      <c r="E77" s="3">
        <f t="shared" si="3"/>
        <v>2</v>
      </c>
      <c r="F77">
        <v>45.6</v>
      </c>
      <c r="G77">
        <v>4</v>
      </c>
      <c r="H77">
        <v>13.73</v>
      </c>
      <c r="I77">
        <v>5.23</v>
      </c>
      <c r="J77">
        <v>2.23</v>
      </c>
      <c r="K77">
        <v>2</v>
      </c>
      <c r="L77">
        <v>8</v>
      </c>
      <c r="M77">
        <v>-0.5</v>
      </c>
      <c r="N77">
        <v>-3.5</v>
      </c>
      <c r="O77" s="19">
        <f t="shared" si="2"/>
        <v>1</v>
      </c>
      <c r="Q77" s="48"/>
      <c r="R77" s="1" t="s">
        <v>1467</v>
      </c>
      <c r="S77" s="24">
        <f>AVERAGE(M$62:M$81)</f>
        <v>-0.5</v>
      </c>
      <c r="T77" s="25"/>
      <c r="U77" s="24">
        <f>AVERAGE(M$82:M$101)</f>
        <v>3.4089999999999998</v>
      </c>
      <c r="V77" s="25"/>
      <c r="W77" s="24">
        <f>AVERAGE(M$102:M$121)</f>
        <v>7.4504999999999999</v>
      </c>
      <c r="X77" s="25"/>
    </row>
    <row r="78" spans="1:24" x14ac:dyDescent="0.25">
      <c r="A78" s="39"/>
      <c r="B78" s="41"/>
      <c r="C78" t="s">
        <v>86</v>
      </c>
      <c r="D78" t="s">
        <v>271</v>
      </c>
      <c r="E78" s="3">
        <f t="shared" si="3"/>
        <v>2</v>
      </c>
      <c r="F78">
        <v>45.6</v>
      </c>
      <c r="G78">
        <v>4</v>
      </c>
      <c r="H78">
        <v>13.73</v>
      </c>
      <c r="I78">
        <v>5.23</v>
      </c>
      <c r="J78">
        <v>2.23</v>
      </c>
      <c r="K78">
        <v>2</v>
      </c>
      <c r="L78">
        <v>8</v>
      </c>
      <c r="M78">
        <v>-0.5</v>
      </c>
      <c r="N78">
        <v>-3.5</v>
      </c>
      <c r="O78" s="19">
        <f t="shared" si="2"/>
        <v>1</v>
      </c>
      <c r="Q78" s="48"/>
      <c r="R78" s="1" t="s">
        <v>1468</v>
      </c>
      <c r="S78" s="24">
        <f>AVERAGE(N$62:N$81)</f>
        <v>-3.5</v>
      </c>
      <c r="T78" s="25"/>
      <c r="U78" s="24">
        <f>AVERAGE(N$82:N$101)</f>
        <v>0.40899999999999997</v>
      </c>
      <c r="V78" s="25"/>
      <c r="W78" s="24">
        <f>AVERAGE(N$102:N$121)</f>
        <v>4.4504999999999999</v>
      </c>
      <c r="X78" s="25"/>
    </row>
    <row r="79" spans="1:24" x14ac:dyDescent="0.25">
      <c r="A79" s="39"/>
      <c r="B79" s="41"/>
      <c r="C79" t="s">
        <v>87</v>
      </c>
      <c r="D79" t="s">
        <v>271</v>
      </c>
      <c r="E79" s="3">
        <f t="shared" si="3"/>
        <v>2</v>
      </c>
      <c r="F79">
        <v>45.6</v>
      </c>
      <c r="G79">
        <v>4</v>
      </c>
      <c r="H79">
        <v>13.73</v>
      </c>
      <c r="I79">
        <v>5.23</v>
      </c>
      <c r="J79">
        <v>2.23</v>
      </c>
      <c r="K79">
        <v>2</v>
      </c>
      <c r="L79">
        <v>8</v>
      </c>
      <c r="M79">
        <v>-0.5</v>
      </c>
      <c r="N79">
        <v>-3.5</v>
      </c>
      <c r="O79" s="19">
        <f t="shared" si="2"/>
        <v>1</v>
      </c>
      <c r="Q79" s="48"/>
      <c r="R79" s="1" t="s">
        <v>1464</v>
      </c>
      <c r="S79" s="24">
        <f>AVERAGE(H$62:H$81)</f>
        <v>13.609499999999997</v>
      </c>
      <c r="T79" s="25"/>
      <c r="U79" s="24">
        <f>AVERAGE(H$82:H$101)</f>
        <v>20.589999999999993</v>
      </c>
      <c r="V79" s="25"/>
      <c r="W79" s="24">
        <f>AVERAGE(H$102:H$121)</f>
        <v>27.459999999999997</v>
      </c>
      <c r="X79" s="25"/>
    </row>
    <row r="80" spans="1:24" x14ac:dyDescent="0.25">
      <c r="A80" s="39"/>
      <c r="B80" s="41"/>
      <c r="C80" t="s">
        <v>88</v>
      </c>
      <c r="D80" t="s">
        <v>271</v>
      </c>
      <c r="E80" s="3">
        <f t="shared" si="3"/>
        <v>2</v>
      </c>
      <c r="F80">
        <v>45.6</v>
      </c>
      <c r="G80">
        <v>4</v>
      </c>
      <c r="H80">
        <v>13.73</v>
      </c>
      <c r="I80">
        <v>5.23</v>
      </c>
      <c r="J80">
        <v>2.23</v>
      </c>
      <c r="K80">
        <v>2</v>
      </c>
      <c r="L80">
        <v>8</v>
      </c>
      <c r="M80">
        <v>-0.5</v>
      </c>
      <c r="N80">
        <v>-3.5</v>
      </c>
      <c r="O80" s="19">
        <f t="shared" si="2"/>
        <v>1</v>
      </c>
      <c r="Q80" s="48"/>
      <c r="R80" s="1" t="s">
        <v>1465</v>
      </c>
      <c r="S80" s="24">
        <f>AVERAGE(I$62:I$81)</f>
        <v>5.1095000000000024</v>
      </c>
      <c r="T80" s="25"/>
      <c r="U80" s="24">
        <f>AVERAGE(I$82:I$101)</f>
        <v>12.090000000000002</v>
      </c>
      <c r="V80" s="25"/>
      <c r="W80" s="24">
        <f>AVERAGE(I$102:I$121)</f>
        <v>18.959999999999997</v>
      </c>
      <c r="X80" s="25"/>
    </row>
    <row r="81" spans="1:24" x14ac:dyDescent="0.25">
      <c r="A81" s="39"/>
      <c r="B81" s="42"/>
      <c r="C81" s="10" t="s">
        <v>89</v>
      </c>
      <c r="D81" s="10" t="s">
        <v>271</v>
      </c>
      <c r="E81" s="11">
        <f t="shared" si="3"/>
        <v>2</v>
      </c>
      <c r="F81" s="10">
        <v>45.6</v>
      </c>
      <c r="G81" s="10">
        <v>4</v>
      </c>
      <c r="H81" s="10">
        <v>13.73</v>
      </c>
      <c r="I81" s="10">
        <v>5.23</v>
      </c>
      <c r="J81" s="10">
        <v>2.23</v>
      </c>
      <c r="K81" s="10">
        <v>2</v>
      </c>
      <c r="L81" s="10">
        <v>8</v>
      </c>
      <c r="M81" s="10">
        <v>-0.5</v>
      </c>
      <c r="N81" s="10">
        <v>-3.5</v>
      </c>
      <c r="O81" s="20">
        <f t="shared" si="2"/>
        <v>1</v>
      </c>
      <c r="Q81" s="48"/>
      <c r="R81" s="1" t="s">
        <v>1466</v>
      </c>
      <c r="S81" s="24">
        <f>AVERAGE(J$62:J$81)</f>
        <v>2.1094999999999997</v>
      </c>
      <c r="T81" s="25"/>
      <c r="U81" s="24">
        <f>AVERAGE(J$82:J$101)</f>
        <v>9.0900000000000016</v>
      </c>
      <c r="V81" s="25"/>
      <c r="W81" s="24">
        <f>AVERAGE(J$102:J$121)</f>
        <v>15.960000000000003</v>
      </c>
      <c r="X81" s="25"/>
    </row>
    <row r="82" spans="1:24" ht="15" customHeight="1" x14ac:dyDescent="0.25">
      <c r="A82" s="39"/>
      <c r="B82" s="40" t="s">
        <v>6</v>
      </c>
      <c r="C82" s="7" t="s">
        <v>90</v>
      </c>
      <c r="D82" s="7" t="s">
        <v>271</v>
      </c>
      <c r="E82" s="3">
        <f t="shared" si="3"/>
        <v>2</v>
      </c>
      <c r="F82" s="7">
        <v>68.41</v>
      </c>
      <c r="G82" s="7">
        <v>4</v>
      </c>
      <c r="H82" s="7">
        <v>20.59</v>
      </c>
      <c r="I82" s="7">
        <v>12.09</v>
      </c>
      <c r="J82" s="7">
        <v>9.09</v>
      </c>
      <c r="K82" s="7">
        <v>4</v>
      </c>
      <c r="L82" s="7">
        <v>12</v>
      </c>
      <c r="M82" s="7">
        <v>3.5</v>
      </c>
      <c r="N82" s="7">
        <v>0.5</v>
      </c>
      <c r="O82" s="18">
        <f t="shared" si="2"/>
        <v>0.5</v>
      </c>
      <c r="Q82" s="47" t="s">
        <v>2</v>
      </c>
      <c r="R82" s="1" t="s">
        <v>1493</v>
      </c>
      <c r="S82" s="24">
        <f>AVERAGE(L$122:L$141)</f>
        <v>7.9305000000000003</v>
      </c>
      <c r="T82" s="25"/>
      <c r="U82" s="24">
        <f>AVERAGE(L$142:L$161)</f>
        <v>11.935499999999999</v>
      </c>
      <c r="V82" s="25"/>
      <c r="W82" s="24">
        <f>AVERAGE(L$162:L$181)</f>
        <v>15.992500000000001</v>
      </c>
      <c r="X82" s="25"/>
    </row>
    <row r="83" spans="1:24" x14ac:dyDescent="0.25">
      <c r="A83" s="39"/>
      <c r="B83" s="41"/>
      <c r="C83" t="s">
        <v>91</v>
      </c>
      <c r="D83" t="s">
        <v>271</v>
      </c>
      <c r="E83" s="3">
        <f t="shared" si="3"/>
        <v>2</v>
      </c>
      <c r="F83">
        <v>68.41</v>
      </c>
      <c r="G83">
        <v>4</v>
      </c>
      <c r="H83">
        <v>20.59</v>
      </c>
      <c r="I83">
        <v>12.09</v>
      </c>
      <c r="J83">
        <v>9.09</v>
      </c>
      <c r="K83">
        <v>4</v>
      </c>
      <c r="L83">
        <v>12</v>
      </c>
      <c r="M83">
        <v>3.5</v>
      </c>
      <c r="N83">
        <v>0.5</v>
      </c>
      <c r="O83" s="19">
        <f t="shared" si="2"/>
        <v>0.5</v>
      </c>
      <c r="Q83" s="47"/>
      <c r="R83" s="1" t="s">
        <v>1467</v>
      </c>
      <c r="S83" s="24">
        <f>AVERAGE(M$122:M$141)</f>
        <v>-0.56950000000000001</v>
      </c>
      <c r="T83" s="25"/>
      <c r="U83" s="24">
        <f>AVERAGE(M$142:M$161)</f>
        <v>3.4359999999999999</v>
      </c>
      <c r="V83" s="25"/>
      <c r="W83" s="24">
        <f>AVERAGE(M$162:M$181)</f>
        <v>7.4924999999999997</v>
      </c>
      <c r="X83" s="25"/>
    </row>
    <row r="84" spans="1:24" x14ac:dyDescent="0.25">
      <c r="A84" s="39"/>
      <c r="B84" s="41"/>
      <c r="C84" t="s">
        <v>92</v>
      </c>
      <c r="D84" t="s">
        <v>271</v>
      </c>
      <c r="E84" s="3">
        <f t="shared" si="3"/>
        <v>2</v>
      </c>
      <c r="F84">
        <v>68.41</v>
      </c>
      <c r="G84">
        <v>4</v>
      </c>
      <c r="H84">
        <v>20.59</v>
      </c>
      <c r="I84">
        <v>12.09</v>
      </c>
      <c r="J84">
        <v>9.09</v>
      </c>
      <c r="K84">
        <v>4</v>
      </c>
      <c r="L84">
        <v>12</v>
      </c>
      <c r="M84">
        <v>3.5</v>
      </c>
      <c r="N84">
        <v>0.5</v>
      </c>
      <c r="O84" s="19">
        <f t="shared" si="2"/>
        <v>0.5</v>
      </c>
      <c r="Q84" s="47"/>
      <c r="R84" s="1" t="s">
        <v>1468</v>
      </c>
      <c r="S84" s="24">
        <f>AVERAGE(N$122:N$141)</f>
        <v>-3.5695000000000001</v>
      </c>
      <c r="T84" s="25"/>
      <c r="U84" s="24">
        <f>AVERAGE(N$142:N$161)</f>
        <v>0.43600000000000005</v>
      </c>
      <c r="V84" s="25"/>
      <c r="W84" s="24">
        <f>AVERAGE(N$162:N$181)</f>
        <v>4.4924999999999997</v>
      </c>
      <c r="X84" s="25"/>
    </row>
    <row r="85" spans="1:24" x14ac:dyDescent="0.25">
      <c r="A85" s="39"/>
      <c r="B85" s="41"/>
      <c r="C85" t="s">
        <v>93</v>
      </c>
      <c r="D85" t="s">
        <v>271</v>
      </c>
      <c r="E85" s="3">
        <f t="shared" si="3"/>
        <v>2</v>
      </c>
      <c r="F85">
        <v>68.41</v>
      </c>
      <c r="G85">
        <v>4</v>
      </c>
      <c r="H85">
        <v>20.59</v>
      </c>
      <c r="I85">
        <v>12.09</v>
      </c>
      <c r="J85">
        <v>9.09</v>
      </c>
      <c r="K85">
        <v>4</v>
      </c>
      <c r="L85">
        <v>12</v>
      </c>
      <c r="M85">
        <v>3.5</v>
      </c>
      <c r="N85">
        <v>0.5</v>
      </c>
      <c r="O85" s="19">
        <f t="shared" si="2"/>
        <v>0.5</v>
      </c>
      <c r="Q85" s="47"/>
      <c r="R85" s="1" t="s">
        <v>1464</v>
      </c>
      <c r="S85" s="24">
        <f>AVERAGE(H$122:H$141)</f>
        <v>14.74</v>
      </c>
      <c r="T85" s="25"/>
      <c r="U85" s="24">
        <f>AVERAGE(H$142:H$161)</f>
        <v>22.253999999999998</v>
      </c>
      <c r="V85" s="25"/>
      <c r="W85" s="24">
        <f>AVERAGE(H$162:H$181)</f>
        <v>29.674000000000007</v>
      </c>
      <c r="X85" s="25"/>
    </row>
    <row r="86" spans="1:24" x14ac:dyDescent="0.25">
      <c r="A86" s="39"/>
      <c r="B86" s="41"/>
      <c r="C86" t="s">
        <v>94</v>
      </c>
      <c r="D86" t="s">
        <v>271</v>
      </c>
      <c r="E86" s="3">
        <f t="shared" si="3"/>
        <v>2</v>
      </c>
      <c r="F86">
        <v>68.41</v>
      </c>
      <c r="G86">
        <v>4</v>
      </c>
      <c r="H86">
        <v>20.59</v>
      </c>
      <c r="I86">
        <v>12.09</v>
      </c>
      <c r="J86">
        <v>9.09</v>
      </c>
      <c r="K86">
        <v>4</v>
      </c>
      <c r="L86">
        <v>12</v>
      </c>
      <c r="M86">
        <v>3.5</v>
      </c>
      <c r="N86">
        <v>0.5</v>
      </c>
      <c r="O86" s="19">
        <f t="shared" si="2"/>
        <v>0.5</v>
      </c>
      <c r="Q86" s="47"/>
      <c r="R86" s="1" t="s">
        <v>1465</v>
      </c>
      <c r="S86" s="24">
        <f>AVERAGE(I$122:I$141)</f>
        <v>6.2445000000000013</v>
      </c>
      <c r="T86" s="25"/>
      <c r="U86" s="24">
        <f>AVERAGE(I$142:I$161)</f>
        <v>13.753999999999996</v>
      </c>
      <c r="V86" s="25"/>
      <c r="W86" s="24">
        <f>AVERAGE(I$162:I$181)</f>
        <v>21.17400000000001</v>
      </c>
      <c r="X86" s="25"/>
    </row>
    <row r="87" spans="1:24" x14ac:dyDescent="0.25">
      <c r="A87" s="39"/>
      <c r="B87" s="41"/>
      <c r="C87" t="s">
        <v>95</v>
      </c>
      <c r="D87" t="s">
        <v>271</v>
      </c>
      <c r="E87" s="3">
        <f t="shared" si="3"/>
        <v>2</v>
      </c>
      <c r="F87">
        <v>68.41</v>
      </c>
      <c r="G87">
        <v>4</v>
      </c>
      <c r="H87">
        <v>20.59</v>
      </c>
      <c r="I87">
        <v>12.09</v>
      </c>
      <c r="J87">
        <v>9.09</v>
      </c>
      <c r="K87">
        <v>4</v>
      </c>
      <c r="L87">
        <v>12</v>
      </c>
      <c r="M87">
        <v>3.5</v>
      </c>
      <c r="N87">
        <v>0.5</v>
      </c>
      <c r="O87" s="19">
        <f t="shared" si="2"/>
        <v>0.5</v>
      </c>
      <c r="Q87" s="47"/>
      <c r="R87" s="1" t="s">
        <v>1466</v>
      </c>
      <c r="S87" s="24">
        <f>AVERAGE(J$122:J$141)</f>
        <v>3.2445000000000008</v>
      </c>
      <c r="T87" s="25"/>
      <c r="U87" s="24">
        <f>AVERAGE(J$142:J$161)</f>
        <v>10.753999999999998</v>
      </c>
      <c r="V87" s="25"/>
      <c r="W87" s="24">
        <f>AVERAGE(J$162:J$181)</f>
        <v>18.174000000000007</v>
      </c>
      <c r="X87" s="25"/>
    </row>
    <row r="88" spans="1:24" ht="15" customHeight="1" x14ac:dyDescent="0.25">
      <c r="A88" s="39"/>
      <c r="B88" s="41"/>
      <c r="C88" t="s">
        <v>96</v>
      </c>
      <c r="D88" t="s">
        <v>271</v>
      </c>
      <c r="E88" s="3">
        <f t="shared" si="3"/>
        <v>2</v>
      </c>
      <c r="F88">
        <v>68.41</v>
      </c>
      <c r="G88">
        <v>4</v>
      </c>
      <c r="H88">
        <v>20.59</v>
      </c>
      <c r="I88">
        <v>12.09</v>
      </c>
      <c r="J88">
        <v>9.09</v>
      </c>
      <c r="K88">
        <v>4</v>
      </c>
      <c r="L88">
        <v>12</v>
      </c>
      <c r="M88">
        <v>3.5</v>
      </c>
      <c r="N88">
        <v>0.5</v>
      </c>
      <c r="O88" s="19">
        <f t="shared" si="2"/>
        <v>0.5</v>
      </c>
      <c r="Q88" s="46" t="s">
        <v>1491</v>
      </c>
      <c r="R88" s="1" t="s">
        <v>1493</v>
      </c>
      <c r="S88" s="24">
        <f>AVERAGE(L$182:L$201)</f>
        <v>7.85</v>
      </c>
      <c r="T88" s="25"/>
      <c r="U88" s="24">
        <f>AVERAGE(L$202:L$221)</f>
        <v>12</v>
      </c>
      <c r="V88" s="25"/>
      <c r="W88" s="24">
        <f>AVERAGE(L$222:L$241)</f>
        <v>15.994999999999999</v>
      </c>
      <c r="X88" s="25"/>
    </row>
    <row r="89" spans="1:24" x14ac:dyDescent="0.25">
      <c r="A89" s="39"/>
      <c r="B89" s="41"/>
      <c r="C89" t="s">
        <v>97</v>
      </c>
      <c r="D89" t="s">
        <v>271</v>
      </c>
      <c r="E89" s="3">
        <f t="shared" si="3"/>
        <v>2</v>
      </c>
      <c r="F89">
        <v>68.41</v>
      </c>
      <c r="G89">
        <v>4</v>
      </c>
      <c r="H89">
        <v>20.59</v>
      </c>
      <c r="I89">
        <v>12.09</v>
      </c>
      <c r="J89">
        <v>9.09</v>
      </c>
      <c r="K89">
        <v>4</v>
      </c>
      <c r="L89">
        <v>12</v>
      </c>
      <c r="M89">
        <v>3.5</v>
      </c>
      <c r="N89">
        <v>0.5</v>
      </c>
      <c r="O89" s="19">
        <f t="shared" si="2"/>
        <v>0.5</v>
      </c>
      <c r="Q89" s="46"/>
      <c r="R89" s="1" t="s">
        <v>1467</v>
      </c>
      <c r="S89" s="24">
        <f>AVERAGE(M$182:M$201)</f>
        <v>-0.65</v>
      </c>
      <c r="T89" s="25"/>
      <c r="U89" s="24">
        <f>AVERAGE(M$202:M$221)</f>
        <v>3.5</v>
      </c>
      <c r="V89" s="25"/>
      <c r="W89" s="24">
        <f>AVERAGE(M$222:M$241)</f>
        <v>7.4954999999999998</v>
      </c>
      <c r="X89" s="25"/>
    </row>
    <row r="90" spans="1:24" x14ac:dyDescent="0.25">
      <c r="A90" s="39"/>
      <c r="B90" s="41"/>
      <c r="C90" t="s">
        <v>98</v>
      </c>
      <c r="D90" t="s">
        <v>271</v>
      </c>
      <c r="E90" s="3">
        <f t="shared" si="3"/>
        <v>2</v>
      </c>
      <c r="F90">
        <v>68.41</v>
      </c>
      <c r="G90">
        <v>4</v>
      </c>
      <c r="H90">
        <v>20.59</v>
      </c>
      <c r="I90">
        <v>12.09</v>
      </c>
      <c r="J90">
        <v>9.09</v>
      </c>
      <c r="K90">
        <v>4</v>
      </c>
      <c r="L90">
        <v>12</v>
      </c>
      <c r="M90">
        <v>3.5</v>
      </c>
      <c r="N90">
        <v>0.5</v>
      </c>
      <c r="O90" s="19">
        <f t="shared" si="2"/>
        <v>0.5</v>
      </c>
      <c r="Q90" s="46"/>
      <c r="R90" s="1" t="s">
        <v>1468</v>
      </c>
      <c r="S90" s="24">
        <f>AVERAGE(N$182:N$201)</f>
        <v>-3.65</v>
      </c>
      <c r="T90" s="25"/>
      <c r="U90" s="24">
        <f>AVERAGE(N$202:N$221)</f>
        <v>0.5</v>
      </c>
      <c r="V90" s="25"/>
      <c r="W90" s="24">
        <f>AVERAGE(N$222:N$241)</f>
        <v>4.4954999999999998</v>
      </c>
      <c r="X90" s="25"/>
    </row>
    <row r="91" spans="1:24" x14ac:dyDescent="0.25">
      <c r="A91" s="39"/>
      <c r="B91" s="41"/>
      <c r="C91" t="s">
        <v>99</v>
      </c>
      <c r="D91" t="s">
        <v>271</v>
      </c>
      <c r="E91" s="3">
        <f t="shared" si="3"/>
        <v>2</v>
      </c>
      <c r="F91">
        <v>68.41</v>
      </c>
      <c r="G91">
        <v>4</v>
      </c>
      <c r="H91">
        <v>20.59</v>
      </c>
      <c r="I91">
        <v>12.09</v>
      </c>
      <c r="J91">
        <v>9.09</v>
      </c>
      <c r="K91">
        <v>4</v>
      </c>
      <c r="L91">
        <v>10.89</v>
      </c>
      <c r="M91">
        <v>2.4</v>
      </c>
      <c r="N91">
        <v>-0.6</v>
      </c>
      <c r="O91" s="19">
        <f t="shared" si="2"/>
        <v>0.5</v>
      </c>
      <c r="Q91" s="46"/>
      <c r="R91" s="1" t="s">
        <v>1464</v>
      </c>
      <c r="S91" s="24">
        <f>AVERAGE(H$182:H$201)</f>
        <v>15.1835</v>
      </c>
      <c r="T91" s="25"/>
      <c r="U91" s="24">
        <f>AVERAGE(H$202:H$221)</f>
        <v>23.335499999999996</v>
      </c>
      <c r="V91" s="25"/>
      <c r="W91" s="24">
        <f>AVERAGE(H$222:H$241)</f>
        <v>31.375000000000007</v>
      </c>
      <c r="X91" s="25"/>
    </row>
    <row r="92" spans="1:24" x14ac:dyDescent="0.25">
      <c r="A92" s="39"/>
      <c r="B92" s="41"/>
      <c r="C92" t="s">
        <v>100</v>
      </c>
      <c r="D92" t="s">
        <v>271</v>
      </c>
      <c r="E92" s="3">
        <f t="shared" si="3"/>
        <v>2</v>
      </c>
      <c r="F92">
        <v>68.41</v>
      </c>
      <c r="G92">
        <v>4</v>
      </c>
      <c r="H92">
        <v>20.59</v>
      </c>
      <c r="I92">
        <v>12.09</v>
      </c>
      <c r="J92">
        <v>9.09</v>
      </c>
      <c r="K92">
        <v>4</v>
      </c>
      <c r="L92">
        <v>12</v>
      </c>
      <c r="M92">
        <v>3.5</v>
      </c>
      <c r="N92">
        <v>0.5</v>
      </c>
      <c r="O92" s="19">
        <f t="shared" si="2"/>
        <v>0.5</v>
      </c>
      <c r="Q92" s="46"/>
      <c r="R92" s="1" t="s">
        <v>1465</v>
      </c>
      <c r="S92" s="24">
        <f>AVERAGE(I$182:I$201)</f>
        <v>6.6880000000000024</v>
      </c>
      <c r="T92" s="25"/>
      <c r="U92" s="24">
        <f>AVERAGE(I$202:I$221)</f>
        <v>14.835500000000001</v>
      </c>
      <c r="V92" s="25"/>
      <c r="W92" s="24">
        <f>AVERAGE(I$222:I$241)</f>
        <v>22.875</v>
      </c>
      <c r="X92" s="25"/>
    </row>
    <row r="93" spans="1:24" x14ac:dyDescent="0.25">
      <c r="A93" s="39"/>
      <c r="B93" s="41"/>
      <c r="C93" t="s">
        <v>101</v>
      </c>
      <c r="D93" t="s">
        <v>271</v>
      </c>
      <c r="E93" s="3">
        <f t="shared" si="3"/>
        <v>2</v>
      </c>
      <c r="F93">
        <v>68.41</v>
      </c>
      <c r="G93">
        <v>4</v>
      </c>
      <c r="H93">
        <v>20.59</v>
      </c>
      <c r="I93">
        <v>12.09</v>
      </c>
      <c r="J93">
        <v>9.09</v>
      </c>
      <c r="K93">
        <v>4</v>
      </c>
      <c r="L93">
        <v>12</v>
      </c>
      <c r="M93">
        <v>3.5</v>
      </c>
      <c r="N93">
        <v>0.5</v>
      </c>
      <c r="O93" s="19">
        <f t="shared" si="2"/>
        <v>0.5</v>
      </c>
      <c r="Q93" s="46"/>
      <c r="R93" s="1" t="s">
        <v>1466</v>
      </c>
      <c r="S93" s="24">
        <f>AVERAGE(J$182:J$201)</f>
        <v>3.6880000000000011</v>
      </c>
      <c r="T93" s="25"/>
      <c r="U93" s="24">
        <f>AVERAGE(J$202:J$221)</f>
        <v>11.835500000000003</v>
      </c>
      <c r="V93" s="25"/>
      <c r="W93" s="24">
        <f>AVERAGE(J$222:J$241)</f>
        <v>19.875</v>
      </c>
      <c r="X93" s="25"/>
    </row>
    <row r="94" spans="1:24" x14ac:dyDescent="0.25">
      <c r="A94" s="39"/>
      <c r="B94" s="41"/>
      <c r="C94" t="s">
        <v>102</v>
      </c>
      <c r="D94" t="s">
        <v>271</v>
      </c>
      <c r="E94" s="3">
        <f t="shared" si="3"/>
        <v>2</v>
      </c>
      <c r="F94">
        <v>68.41</v>
      </c>
      <c r="G94">
        <v>4</v>
      </c>
      <c r="H94">
        <v>20.59</v>
      </c>
      <c r="I94">
        <v>12.09</v>
      </c>
      <c r="J94">
        <v>9.09</v>
      </c>
      <c r="K94">
        <v>4</v>
      </c>
      <c r="L94">
        <v>11.48</v>
      </c>
      <c r="M94">
        <v>2.98</v>
      </c>
      <c r="N94">
        <v>-0.02</v>
      </c>
      <c r="O94" s="19">
        <f t="shared" si="2"/>
        <v>0.5</v>
      </c>
    </row>
    <row r="95" spans="1:24" x14ac:dyDescent="0.25">
      <c r="A95" s="39"/>
      <c r="B95" s="41"/>
      <c r="C95" t="s">
        <v>103</v>
      </c>
      <c r="D95" t="s">
        <v>271</v>
      </c>
      <c r="E95" s="3">
        <f t="shared" si="3"/>
        <v>2</v>
      </c>
      <c r="F95">
        <v>68.41</v>
      </c>
      <c r="G95">
        <v>4</v>
      </c>
      <c r="H95">
        <v>20.59</v>
      </c>
      <c r="I95">
        <v>12.09</v>
      </c>
      <c r="J95">
        <v>9.09</v>
      </c>
      <c r="K95">
        <v>4</v>
      </c>
      <c r="L95">
        <v>12</v>
      </c>
      <c r="M95">
        <v>3.5</v>
      </c>
      <c r="N95">
        <v>0.5</v>
      </c>
      <c r="O95" s="19">
        <f t="shared" si="2"/>
        <v>0.5</v>
      </c>
      <c r="R95" s="1"/>
      <c r="S95" s="30" t="s">
        <v>1460</v>
      </c>
      <c r="T95" s="30"/>
      <c r="U95" s="30" t="s">
        <v>1461</v>
      </c>
      <c r="V95" s="30"/>
      <c r="W95" s="30" t="s">
        <v>1462</v>
      </c>
      <c r="X95" s="30"/>
    </row>
    <row r="96" spans="1:24" x14ac:dyDescent="0.25">
      <c r="A96" s="39"/>
      <c r="B96" s="41"/>
      <c r="C96" t="s">
        <v>104</v>
      </c>
      <c r="D96" t="s">
        <v>271</v>
      </c>
      <c r="E96" s="3">
        <f t="shared" si="3"/>
        <v>2</v>
      </c>
      <c r="F96">
        <v>68.41</v>
      </c>
      <c r="G96">
        <v>4</v>
      </c>
      <c r="H96">
        <v>20.59</v>
      </c>
      <c r="I96">
        <v>12.09</v>
      </c>
      <c r="J96">
        <v>9.09</v>
      </c>
      <c r="K96">
        <v>4</v>
      </c>
      <c r="L96">
        <v>12</v>
      </c>
      <c r="M96">
        <v>3.5</v>
      </c>
      <c r="N96">
        <v>0.5</v>
      </c>
      <c r="O96" s="19">
        <f t="shared" si="2"/>
        <v>0.5</v>
      </c>
      <c r="R96" s="1" t="s">
        <v>0</v>
      </c>
      <c r="S96" s="24">
        <f>AVERAGE(O$2:O$21)</f>
        <v>1</v>
      </c>
      <c r="T96" s="25"/>
      <c r="U96" s="24">
        <f>AVERAGE(O$22:O$41)</f>
        <v>0.5</v>
      </c>
      <c r="V96" s="25"/>
      <c r="W96" s="24">
        <f>AVERAGE(O$42:O$61)</f>
        <v>0.625</v>
      </c>
      <c r="X96" s="25"/>
    </row>
    <row r="97" spans="1:24" x14ac:dyDescent="0.25">
      <c r="A97" s="39"/>
      <c r="B97" s="41"/>
      <c r="C97" t="s">
        <v>105</v>
      </c>
      <c r="D97" t="s">
        <v>271</v>
      </c>
      <c r="E97" s="3">
        <f t="shared" si="3"/>
        <v>2</v>
      </c>
      <c r="F97">
        <v>68.41</v>
      </c>
      <c r="G97">
        <v>4</v>
      </c>
      <c r="H97">
        <v>20.59</v>
      </c>
      <c r="I97">
        <v>12.09</v>
      </c>
      <c r="J97">
        <v>9.09</v>
      </c>
      <c r="K97">
        <v>4</v>
      </c>
      <c r="L97">
        <v>12</v>
      </c>
      <c r="M97">
        <v>3.5</v>
      </c>
      <c r="N97">
        <v>0.5</v>
      </c>
      <c r="O97" s="19">
        <f t="shared" si="2"/>
        <v>0.5</v>
      </c>
      <c r="R97" s="1" t="s">
        <v>1</v>
      </c>
      <c r="S97" s="24">
        <f>AVERAGE(O$62:O$81)</f>
        <v>1</v>
      </c>
      <c r="T97" s="25"/>
      <c r="U97" s="24">
        <f>AVERAGE(O$82:O$101)</f>
        <v>0.5</v>
      </c>
      <c r="V97" s="25"/>
      <c r="W97" s="24">
        <f>AVERAGE(O$102:O$121)</f>
        <v>0.75</v>
      </c>
      <c r="X97" s="25"/>
    </row>
    <row r="98" spans="1:24" x14ac:dyDescent="0.25">
      <c r="A98" s="39"/>
      <c r="B98" s="41"/>
      <c r="C98" t="s">
        <v>106</v>
      </c>
      <c r="D98" t="s">
        <v>271</v>
      </c>
      <c r="E98" s="3">
        <f t="shared" si="3"/>
        <v>2</v>
      </c>
      <c r="F98">
        <v>68.41</v>
      </c>
      <c r="G98">
        <v>4</v>
      </c>
      <c r="H98">
        <v>20.59</v>
      </c>
      <c r="I98">
        <v>12.09</v>
      </c>
      <c r="J98">
        <v>9.09</v>
      </c>
      <c r="K98">
        <v>4</v>
      </c>
      <c r="L98">
        <v>12</v>
      </c>
      <c r="M98">
        <v>3.5</v>
      </c>
      <c r="N98">
        <v>0.5</v>
      </c>
      <c r="O98" s="19">
        <f t="shared" si="2"/>
        <v>0.5</v>
      </c>
      <c r="R98" s="1" t="s">
        <v>2</v>
      </c>
      <c r="S98" s="24">
        <f>AVERAGE(O$122:O$141)</f>
        <v>1</v>
      </c>
      <c r="T98" s="25"/>
      <c r="U98" s="24">
        <f>AVERAGE(O$142:O$161)</f>
        <v>0.61250000000000004</v>
      </c>
      <c r="V98" s="25"/>
      <c r="W98" s="24">
        <f>AVERAGE(O$162:O$181)</f>
        <v>0.875</v>
      </c>
      <c r="X98" s="25"/>
    </row>
    <row r="99" spans="1:24" x14ac:dyDescent="0.25">
      <c r="A99" s="39"/>
      <c r="B99" s="41"/>
      <c r="C99" t="s">
        <v>107</v>
      </c>
      <c r="D99" t="s">
        <v>271</v>
      </c>
      <c r="E99" s="3">
        <f t="shared" si="3"/>
        <v>2</v>
      </c>
      <c r="F99">
        <v>68.41</v>
      </c>
      <c r="G99">
        <v>4</v>
      </c>
      <c r="H99">
        <v>20.59</v>
      </c>
      <c r="I99">
        <v>12.09</v>
      </c>
      <c r="J99">
        <v>9.09</v>
      </c>
      <c r="K99">
        <v>4</v>
      </c>
      <c r="L99">
        <v>11.8</v>
      </c>
      <c r="M99">
        <v>3.3</v>
      </c>
      <c r="N99">
        <v>0.3</v>
      </c>
      <c r="O99" s="19">
        <f t="shared" si="2"/>
        <v>0.5</v>
      </c>
      <c r="R99" s="1" t="s">
        <v>1491</v>
      </c>
      <c r="S99" s="24">
        <f>AVERAGE(O$182:O$201)</f>
        <v>1.05</v>
      </c>
      <c r="T99" s="25"/>
      <c r="U99" s="24">
        <f>AVERAGE(O$202:O$221)</f>
        <v>0.7</v>
      </c>
      <c r="V99" s="25"/>
      <c r="W99" s="24">
        <f>AVERAGE(O$222:O$241)</f>
        <v>1</v>
      </c>
      <c r="X99" s="25"/>
    </row>
    <row r="100" spans="1:24" x14ac:dyDescent="0.25">
      <c r="A100" s="39"/>
      <c r="B100" s="41"/>
      <c r="C100" t="s">
        <v>108</v>
      </c>
      <c r="D100" t="s">
        <v>271</v>
      </c>
      <c r="E100" s="3">
        <f t="shared" si="3"/>
        <v>2</v>
      </c>
      <c r="F100">
        <v>68.41</v>
      </c>
      <c r="G100">
        <v>4</v>
      </c>
      <c r="H100">
        <v>20.59</v>
      </c>
      <c r="I100">
        <v>12.09</v>
      </c>
      <c r="J100">
        <v>9.09</v>
      </c>
      <c r="K100">
        <v>4</v>
      </c>
      <c r="L100">
        <v>12</v>
      </c>
      <c r="M100">
        <v>3.5</v>
      </c>
      <c r="N100">
        <v>0.5</v>
      </c>
      <c r="O100" s="19">
        <f t="shared" si="2"/>
        <v>0.5</v>
      </c>
    </row>
    <row r="101" spans="1:24" x14ac:dyDescent="0.25">
      <c r="A101" s="39"/>
      <c r="B101" s="42"/>
      <c r="C101" s="10" t="s">
        <v>109</v>
      </c>
      <c r="D101" s="10" t="s">
        <v>271</v>
      </c>
      <c r="E101" s="11">
        <f t="shared" si="3"/>
        <v>2</v>
      </c>
      <c r="F101" s="10">
        <v>68.41</v>
      </c>
      <c r="G101" s="10">
        <v>4</v>
      </c>
      <c r="H101" s="10">
        <v>20.59</v>
      </c>
      <c r="I101" s="10">
        <v>12.09</v>
      </c>
      <c r="J101" s="10">
        <v>9.09</v>
      </c>
      <c r="K101" s="10">
        <v>4</v>
      </c>
      <c r="L101" s="10">
        <v>12</v>
      </c>
      <c r="M101" s="10">
        <v>3.5</v>
      </c>
      <c r="N101" s="10">
        <v>0.5</v>
      </c>
      <c r="O101" s="20">
        <f t="shared" si="2"/>
        <v>0.5</v>
      </c>
    </row>
    <row r="102" spans="1:24" x14ac:dyDescent="0.25">
      <c r="A102" s="39"/>
      <c r="B102" s="40" t="s">
        <v>5</v>
      </c>
      <c r="C102" s="7" t="s">
        <v>110</v>
      </c>
      <c r="D102" s="7" t="s">
        <v>51</v>
      </c>
      <c r="E102" s="3">
        <f t="shared" si="3"/>
        <v>3</v>
      </c>
      <c r="F102" s="7">
        <v>91.21</v>
      </c>
      <c r="G102" s="7">
        <v>4</v>
      </c>
      <c r="H102" s="7">
        <v>27.46</v>
      </c>
      <c r="I102" s="7">
        <v>18.96</v>
      </c>
      <c r="J102" s="7">
        <v>15.96</v>
      </c>
      <c r="K102" s="7">
        <v>4</v>
      </c>
      <c r="L102" s="7">
        <v>16</v>
      </c>
      <c r="M102" s="7">
        <v>7.5</v>
      </c>
      <c r="N102" s="7">
        <v>4.5</v>
      </c>
      <c r="O102" s="18">
        <f t="shared" si="2"/>
        <v>0.75</v>
      </c>
    </row>
    <row r="103" spans="1:24" ht="15" customHeight="1" x14ac:dyDescent="0.25">
      <c r="A103" s="39"/>
      <c r="B103" s="41"/>
      <c r="C103" t="s">
        <v>111</v>
      </c>
      <c r="D103" t="s">
        <v>51</v>
      </c>
      <c r="E103" s="3">
        <f t="shared" si="3"/>
        <v>3</v>
      </c>
      <c r="F103">
        <v>91.21</v>
      </c>
      <c r="G103">
        <v>4</v>
      </c>
      <c r="H103">
        <v>27.46</v>
      </c>
      <c r="I103">
        <v>18.96</v>
      </c>
      <c r="J103">
        <v>15.96</v>
      </c>
      <c r="K103">
        <v>4</v>
      </c>
      <c r="L103">
        <v>15.97</v>
      </c>
      <c r="M103">
        <v>7.47</v>
      </c>
      <c r="N103">
        <v>4.47</v>
      </c>
      <c r="O103" s="19">
        <f t="shared" si="2"/>
        <v>0.75</v>
      </c>
    </row>
    <row r="104" spans="1:24" x14ac:dyDescent="0.25">
      <c r="A104" s="39"/>
      <c r="B104" s="41"/>
      <c r="C104" t="s">
        <v>112</v>
      </c>
      <c r="D104" t="s">
        <v>51</v>
      </c>
      <c r="E104" s="3">
        <f t="shared" si="3"/>
        <v>3</v>
      </c>
      <c r="F104">
        <v>91.21</v>
      </c>
      <c r="G104">
        <v>4</v>
      </c>
      <c r="H104">
        <v>27.46</v>
      </c>
      <c r="I104">
        <v>18.96</v>
      </c>
      <c r="J104">
        <v>15.96</v>
      </c>
      <c r="K104">
        <v>4</v>
      </c>
      <c r="L104">
        <v>16</v>
      </c>
      <c r="M104">
        <v>7.5</v>
      </c>
      <c r="N104">
        <v>4.5</v>
      </c>
      <c r="O104" s="19">
        <f t="shared" si="2"/>
        <v>0.75</v>
      </c>
    </row>
    <row r="105" spans="1:24" x14ac:dyDescent="0.25">
      <c r="A105" s="39"/>
      <c r="B105" s="41"/>
      <c r="C105" t="s">
        <v>113</v>
      </c>
      <c r="D105" t="s">
        <v>51</v>
      </c>
      <c r="E105" s="3">
        <f t="shared" si="3"/>
        <v>3</v>
      </c>
      <c r="F105">
        <v>91.21</v>
      </c>
      <c r="G105">
        <v>4</v>
      </c>
      <c r="H105">
        <v>27.46</v>
      </c>
      <c r="I105">
        <v>18.96</v>
      </c>
      <c r="J105">
        <v>15.96</v>
      </c>
      <c r="K105">
        <v>4</v>
      </c>
      <c r="L105">
        <v>16</v>
      </c>
      <c r="M105">
        <v>7.5</v>
      </c>
      <c r="N105">
        <v>4.5</v>
      </c>
      <c r="O105" s="19">
        <f t="shared" si="2"/>
        <v>0.75</v>
      </c>
    </row>
    <row r="106" spans="1:24" x14ac:dyDescent="0.25">
      <c r="A106" s="39"/>
      <c r="B106" s="41"/>
      <c r="C106" t="s">
        <v>114</v>
      </c>
      <c r="D106" t="s">
        <v>51</v>
      </c>
      <c r="E106" s="3">
        <f t="shared" si="3"/>
        <v>3</v>
      </c>
      <c r="F106">
        <v>91.21</v>
      </c>
      <c r="G106">
        <v>4</v>
      </c>
      <c r="H106">
        <v>27.46</v>
      </c>
      <c r="I106">
        <v>18.96</v>
      </c>
      <c r="J106">
        <v>15.96</v>
      </c>
      <c r="K106">
        <v>4</v>
      </c>
      <c r="L106">
        <v>16</v>
      </c>
      <c r="M106">
        <v>7.5</v>
      </c>
      <c r="N106">
        <v>4.5</v>
      </c>
      <c r="O106" s="19">
        <f t="shared" si="2"/>
        <v>0.75</v>
      </c>
    </row>
    <row r="107" spans="1:24" x14ac:dyDescent="0.25">
      <c r="A107" s="39"/>
      <c r="B107" s="41"/>
      <c r="C107" t="s">
        <v>115</v>
      </c>
      <c r="D107" t="s">
        <v>51</v>
      </c>
      <c r="E107" s="3">
        <f t="shared" si="3"/>
        <v>3</v>
      </c>
      <c r="F107">
        <v>91.21</v>
      </c>
      <c r="G107">
        <v>4</v>
      </c>
      <c r="H107">
        <v>27.46</v>
      </c>
      <c r="I107">
        <v>18.96</v>
      </c>
      <c r="J107">
        <v>15.96</v>
      </c>
      <c r="K107">
        <v>4</v>
      </c>
      <c r="L107">
        <v>16</v>
      </c>
      <c r="M107">
        <v>7.5</v>
      </c>
      <c r="N107">
        <v>4.5</v>
      </c>
      <c r="O107" s="19">
        <f t="shared" si="2"/>
        <v>0.75</v>
      </c>
    </row>
    <row r="108" spans="1:24" x14ac:dyDescent="0.25">
      <c r="A108" s="39"/>
      <c r="B108" s="41"/>
      <c r="C108" t="s">
        <v>116</v>
      </c>
      <c r="D108" t="s">
        <v>51</v>
      </c>
      <c r="E108" s="3">
        <f t="shared" si="3"/>
        <v>3</v>
      </c>
      <c r="F108">
        <v>91.21</v>
      </c>
      <c r="G108">
        <v>4</v>
      </c>
      <c r="H108">
        <v>27.46</v>
      </c>
      <c r="I108">
        <v>18.96</v>
      </c>
      <c r="J108">
        <v>15.96</v>
      </c>
      <c r="K108">
        <v>4</v>
      </c>
      <c r="L108">
        <v>16</v>
      </c>
      <c r="M108">
        <v>7.5</v>
      </c>
      <c r="N108">
        <v>4.5</v>
      </c>
      <c r="O108" s="19">
        <f t="shared" si="2"/>
        <v>0.75</v>
      </c>
    </row>
    <row r="109" spans="1:24" ht="15" customHeight="1" x14ac:dyDescent="0.25">
      <c r="A109" s="39"/>
      <c r="B109" s="41"/>
      <c r="C109" t="s">
        <v>117</v>
      </c>
      <c r="D109" t="s">
        <v>51</v>
      </c>
      <c r="E109" s="3">
        <f t="shared" si="3"/>
        <v>3</v>
      </c>
      <c r="F109">
        <v>91.21</v>
      </c>
      <c r="G109">
        <v>4</v>
      </c>
      <c r="H109">
        <v>27.46</v>
      </c>
      <c r="I109">
        <v>18.96</v>
      </c>
      <c r="J109">
        <v>15.96</v>
      </c>
      <c r="K109">
        <v>4</v>
      </c>
      <c r="L109">
        <v>15.04</v>
      </c>
      <c r="M109">
        <v>6.54</v>
      </c>
      <c r="N109">
        <v>3.54</v>
      </c>
      <c r="O109" s="19">
        <f t="shared" si="2"/>
        <v>0.75</v>
      </c>
    </row>
    <row r="110" spans="1:24" x14ac:dyDescent="0.25">
      <c r="A110" s="39"/>
      <c r="B110" s="41"/>
      <c r="C110" t="s">
        <v>118</v>
      </c>
      <c r="D110" t="s">
        <v>51</v>
      </c>
      <c r="E110" s="3">
        <f t="shared" si="3"/>
        <v>3</v>
      </c>
      <c r="F110">
        <v>91.21</v>
      </c>
      <c r="G110">
        <v>4</v>
      </c>
      <c r="H110">
        <v>27.46</v>
      </c>
      <c r="I110">
        <v>18.96</v>
      </c>
      <c r="J110">
        <v>15.96</v>
      </c>
      <c r="K110">
        <v>4</v>
      </c>
      <c r="L110">
        <v>16</v>
      </c>
      <c r="M110">
        <v>7.5</v>
      </c>
      <c r="N110">
        <v>4.5</v>
      </c>
      <c r="O110" s="19">
        <f t="shared" si="2"/>
        <v>0.75</v>
      </c>
    </row>
    <row r="111" spans="1:24" x14ac:dyDescent="0.25">
      <c r="A111" s="39"/>
      <c r="B111" s="41"/>
      <c r="C111" t="s">
        <v>119</v>
      </c>
      <c r="D111" t="s">
        <v>51</v>
      </c>
      <c r="E111" s="3">
        <f t="shared" si="3"/>
        <v>3</v>
      </c>
      <c r="F111">
        <v>91.21</v>
      </c>
      <c r="G111">
        <v>4</v>
      </c>
      <c r="H111">
        <v>27.46</v>
      </c>
      <c r="I111">
        <v>18.96</v>
      </c>
      <c r="J111">
        <v>15.96</v>
      </c>
      <c r="K111">
        <v>4</v>
      </c>
      <c r="L111">
        <v>16</v>
      </c>
      <c r="M111">
        <v>7.5</v>
      </c>
      <c r="N111">
        <v>4.5</v>
      </c>
      <c r="O111" s="19">
        <f t="shared" si="2"/>
        <v>0.75</v>
      </c>
    </row>
    <row r="112" spans="1:24" x14ac:dyDescent="0.25">
      <c r="A112" s="39"/>
      <c r="B112" s="41"/>
      <c r="C112" t="s">
        <v>120</v>
      </c>
      <c r="D112" t="s">
        <v>51</v>
      </c>
      <c r="E112" s="3">
        <f t="shared" si="3"/>
        <v>3</v>
      </c>
      <c r="F112">
        <v>91.21</v>
      </c>
      <c r="G112">
        <v>4</v>
      </c>
      <c r="H112">
        <v>27.46</v>
      </c>
      <c r="I112">
        <v>18.96</v>
      </c>
      <c r="J112">
        <v>15.96</v>
      </c>
      <c r="K112">
        <v>4</v>
      </c>
      <c r="L112">
        <v>16</v>
      </c>
      <c r="M112">
        <v>7.5</v>
      </c>
      <c r="N112">
        <v>4.5</v>
      </c>
      <c r="O112" s="19">
        <f t="shared" si="2"/>
        <v>0.75</v>
      </c>
    </row>
    <row r="113" spans="1:15" x14ac:dyDescent="0.25">
      <c r="A113" s="39"/>
      <c r="B113" s="41"/>
      <c r="C113" t="s">
        <v>121</v>
      </c>
      <c r="D113" t="s">
        <v>51</v>
      </c>
      <c r="E113" s="3">
        <f t="shared" si="3"/>
        <v>3</v>
      </c>
      <c r="F113">
        <v>91.21</v>
      </c>
      <c r="G113">
        <v>4</v>
      </c>
      <c r="H113">
        <v>27.46</v>
      </c>
      <c r="I113">
        <v>18.96</v>
      </c>
      <c r="J113">
        <v>15.96</v>
      </c>
      <c r="K113">
        <v>4</v>
      </c>
      <c r="L113">
        <v>16</v>
      </c>
      <c r="M113">
        <v>7.5</v>
      </c>
      <c r="N113">
        <v>4.5</v>
      </c>
      <c r="O113" s="19">
        <f t="shared" si="2"/>
        <v>0.75</v>
      </c>
    </row>
    <row r="114" spans="1:15" x14ac:dyDescent="0.25">
      <c r="A114" s="39"/>
      <c r="B114" s="41"/>
      <c r="C114" t="s">
        <v>122</v>
      </c>
      <c r="D114" t="s">
        <v>51</v>
      </c>
      <c r="E114" s="3">
        <f t="shared" si="3"/>
        <v>3</v>
      </c>
      <c r="F114">
        <v>91.21</v>
      </c>
      <c r="G114">
        <v>4</v>
      </c>
      <c r="H114">
        <v>27.46</v>
      </c>
      <c r="I114">
        <v>18.96</v>
      </c>
      <c r="J114">
        <v>15.96</v>
      </c>
      <c r="K114">
        <v>4</v>
      </c>
      <c r="L114">
        <v>16</v>
      </c>
      <c r="M114">
        <v>7.5</v>
      </c>
      <c r="N114">
        <v>4.5</v>
      </c>
      <c r="O114" s="19">
        <f t="shared" si="2"/>
        <v>0.75</v>
      </c>
    </row>
    <row r="115" spans="1:15" x14ac:dyDescent="0.25">
      <c r="A115" s="39"/>
      <c r="B115" s="41"/>
      <c r="C115" t="s">
        <v>123</v>
      </c>
      <c r="D115" t="s">
        <v>51</v>
      </c>
      <c r="E115" s="3">
        <f t="shared" si="3"/>
        <v>3</v>
      </c>
      <c r="F115">
        <v>91.21</v>
      </c>
      <c r="G115">
        <v>4</v>
      </c>
      <c r="H115">
        <v>27.46</v>
      </c>
      <c r="I115">
        <v>18.96</v>
      </c>
      <c r="J115">
        <v>15.96</v>
      </c>
      <c r="K115">
        <v>4</v>
      </c>
      <c r="L115">
        <v>16</v>
      </c>
      <c r="M115">
        <v>7.5</v>
      </c>
      <c r="N115">
        <v>4.5</v>
      </c>
      <c r="O115" s="19">
        <f t="shared" si="2"/>
        <v>0.75</v>
      </c>
    </row>
    <row r="116" spans="1:15" x14ac:dyDescent="0.25">
      <c r="A116" s="39"/>
      <c r="B116" s="41"/>
      <c r="C116" t="s">
        <v>124</v>
      </c>
      <c r="D116" t="s">
        <v>51</v>
      </c>
      <c r="E116" s="3">
        <f t="shared" si="3"/>
        <v>3</v>
      </c>
      <c r="F116">
        <v>91.21</v>
      </c>
      <c r="G116">
        <v>4</v>
      </c>
      <c r="H116">
        <v>27.46</v>
      </c>
      <c r="I116">
        <v>18.96</v>
      </c>
      <c r="J116">
        <v>15.96</v>
      </c>
      <c r="K116">
        <v>4</v>
      </c>
      <c r="L116">
        <v>16</v>
      </c>
      <c r="M116">
        <v>7.5</v>
      </c>
      <c r="N116">
        <v>4.5</v>
      </c>
      <c r="O116" s="19">
        <f t="shared" si="2"/>
        <v>0.75</v>
      </c>
    </row>
    <row r="117" spans="1:15" x14ac:dyDescent="0.25">
      <c r="A117" s="39"/>
      <c r="B117" s="41"/>
      <c r="C117" t="s">
        <v>125</v>
      </c>
      <c r="D117" t="s">
        <v>51</v>
      </c>
      <c r="E117" s="3">
        <f t="shared" si="3"/>
        <v>3</v>
      </c>
      <c r="F117">
        <v>91.21</v>
      </c>
      <c r="G117">
        <v>4</v>
      </c>
      <c r="H117">
        <v>27.46</v>
      </c>
      <c r="I117">
        <v>18.96</v>
      </c>
      <c r="J117">
        <v>15.96</v>
      </c>
      <c r="K117">
        <v>4</v>
      </c>
      <c r="L117">
        <v>16</v>
      </c>
      <c r="M117">
        <v>7.5</v>
      </c>
      <c r="N117">
        <v>4.5</v>
      </c>
      <c r="O117" s="19">
        <f t="shared" si="2"/>
        <v>0.75</v>
      </c>
    </row>
    <row r="118" spans="1:15" x14ac:dyDescent="0.25">
      <c r="A118" s="39"/>
      <c r="B118" s="41"/>
      <c r="C118" t="s">
        <v>126</v>
      </c>
      <c r="D118" t="s">
        <v>51</v>
      </c>
      <c r="E118" s="3">
        <f t="shared" si="3"/>
        <v>3</v>
      </c>
      <c r="F118">
        <v>91.21</v>
      </c>
      <c r="G118">
        <v>4</v>
      </c>
      <c r="H118">
        <v>27.46</v>
      </c>
      <c r="I118">
        <v>18.96</v>
      </c>
      <c r="J118">
        <v>15.96</v>
      </c>
      <c r="K118">
        <v>4</v>
      </c>
      <c r="L118">
        <v>16</v>
      </c>
      <c r="M118">
        <v>7.5</v>
      </c>
      <c r="N118">
        <v>4.5</v>
      </c>
      <c r="O118" s="19">
        <f t="shared" si="2"/>
        <v>0.75</v>
      </c>
    </row>
    <row r="119" spans="1:15" x14ac:dyDescent="0.25">
      <c r="A119" s="39"/>
      <c r="B119" s="41"/>
      <c r="C119" t="s">
        <v>127</v>
      </c>
      <c r="D119" t="s">
        <v>51</v>
      </c>
      <c r="E119" s="3">
        <f t="shared" si="3"/>
        <v>3</v>
      </c>
      <c r="F119">
        <v>91.21</v>
      </c>
      <c r="G119">
        <v>4</v>
      </c>
      <c r="H119">
        <v>27.46</v>
      </c>
      <c r="I119">
        <v>18.96</v>
      </c>
      <c r="J119">
        <v>15.96</v>
      </c>
      <c r="K119">
        <v>4</v>
      </c>
      <c r="L119">
        <v>16</v>
      </c>
      <c r="M119">
        <v>7.5</v>
      </c>
      <c r="N119">
        <v>4.5</v>
      </c>
      <c r="O119" s="19">
        <f t="shared" si="2"/>
        <v>0.75</v>
      </c>
    </row>
    <row r="120" spans="1:15" x14ac:dyDescent="0.25">
      <c r="A120" s="39"/>
      <c r="B120" s="41"/>
      <c r="C120" t="s">
        <v>128</v>
      </c>
      <c r="D120" t="s">
        <v>51</v>
      </c>
      <c r="E120" s="3">
        <f t="shared" si="3"/>
        <v>3</v>
      </c>
      <c r="F120">
        <v>91.21</v>
      </c>
      <c r="G120">
        <v>4</v>
      </c>
      <c r="H120">
        <v>27.46</v>
      </c>
      <c r="I120">
        <v>18.96</v>
      </c>
      <c r="J120">
        <v>15.96</v>
      </c>
      <c r="K120">
        <v>4</v>
      </c>
      <c r="L120">
        <v>16</v>
      </c>
      <c r="M120">
        <v>7.5</v>
      </c>
      <c r="N120">
        <v>4.5</v>
      </c>
      <c r="O120" s="19">
        <f t="shared" si="2"/>
        <v>0.75</v>
      </c>
    </row>
    <row r="121" spans="1:15" x14ac:dyDescent="0.25">
      <c r="A121" s="39"/>
      <c r="B121" s="42"/>
      <c r="C121" s="10" t="s">
        <v>129</v>
      </c>
      <c r="D121" s="10" t="s">
        <v>51</v>
      </c>
      <c r="E121" s="11">
        <f t="shared" si="3"/>
        <v>3</v>
      </c>
      <c r="F121" s="10">
        <v>91.21</v>
      </c>
      <c r="G121" s="10">
        <v>4</v>
      </c>
      <c r="H121" s="10">
        <v>27.46</v>
      </c>
      <c r="I121" s="10">
        <v>18.96</v>
      </c>
      <c r="J121" s="10">
        <v>15.96</v>
      </c>
      <c r="K121" s="10">
        <v>4</v>
      </c>
      <c r="L121" s="10">
        <v>16</v>
      </c>
      <c r="M121" s="10">
        <v>7.5</v>
      </c>
      <c r="N121" s="10">
        <v>4.5</v>
      </c>
      <c r="O121" s="20">
        <f t="shared" si="2"/>
        <v>0.75</v>
      </c>
    </row>
    <row r="122" spans="1:15" x14ac:dyDescent="0.25">
      <c r="A122" s="39" t="s">
        <v>2</v>
      </c>
      <c r="B122" s="40" t="s">
        <v>4</v>
      </c>
      <c r="C122" s="7" t="s">
        <v>130</v>
      </c>
      <c r="D122" s="7" t="s">
        <v>271</v>
      </c>
      <c r="E122" s="3">
        <f t="shared" si="3"/>
        <v>2</v>
      </c>
      <c r="F122" s="7">
        <v>51.14</v>
      </c>
      <c r="G122" s="7">
        <v>4</v>
      </c>
      <c r="H122" s="7">
        <v>15.39</v>
      </c>
      <c r="I122" s="7">
        <v>6.9</v>
      </c>
      <c r="J122" s="7">
        <v>3.9</v>
      </c>
      <c r="K122" s="7">
        <v>2</v>
      </c>
      <c r="L122" s="7">
        <v>8</v>
      </c>
      <c r="M122" s="7">
        <v>-0.5</v>
      </c>
      <c r="N122" s="7">
        <v>-3.5</v>
      </c>
      <c r="O122" s="18">
        <f t="shared" si="2"/>
        <v>1</v>
      </c>
    </row>
    <row r="123" spans="1:15" x14ac:dyDescent="0.25">
      <c r="A123" s="39"/>
      <c r="B123" s="41"/>
      <c r="C123" t="s">
        <v>131</v>
      </c>
      <c r="D123" t="s">
        <v>271</v>
      </c>
      <c r="E123" s="3">
        <f t="shared" si="3"/>
        <v>2</v>
      </c>
      <c r="F123">
        <v>51.14</v>
      </c>
      <c r="G123">
        <v>4</v>
      </c>
      <c r="H123">
        <v>15.39</v>
      </c>
      <c r="I123">
        <v>6.9</v>
      </c>
      <c r="J123">
        <v>3.9</v>
      </c>
      <c r="K123">
        <v>2</v>
      </c>
      <c r="L123">
        <v>8</v>
      </c>
      <c r="M123">
        <v>-0.5</v>
      </c>
      <c r="N123">
        <v>-3.5</v>
      </c>
      <c r="O123" s="19">
        <f t="shared" si="2"/>
        <v>1</v>
      </c>
    </row>
    <row r="124" spans="1:15" x14ac:dyDescent="0.25">
      <c r="A124" s="39"/>
      <c r="B124" s="41"/>
      <c r="C124" t="s">
        <v>132</v>
      </c>
      <c r="D124" t="s">
        <v>271</v>
      </c>
      <c r="E124" s="3">
        <f t="shared" si="3"/>
        <v>2</v>
      </c>
      <c r="F124">
        <v>51.14</v>
      </c>
      <c r="G124">
        <v>4</v>
      </c>
      <c r="H124">
        <v>15.39</v>
      </c>
      <c r="I124">
        <v>6.9</v>
      </c>
      <c r="J124">
        <v>3.9</v>
      </c>
      <c r="K124">
        <v>2</v>
      </c>
      <c r="L124">
        <v>6.61</v>
      </c>
      <c r="M124">
        <v>-1.89</v>
      </c>
      <c r="N124">
        <v>-4.8899999999999997</v>
      </c>
      <c r="O124" s="19">
        <f t="shared" si="2"/>
        <v>1</v>
      </c>
    </row>
    <row r="125" spans="1:15" x14ac:dyDescent="0.25">
      <c r="A125" s="39"/>
      <c r="B125" s="41"/>
      <c r="C125" t="s">
        <v>133</v>
      </c>
      <c r="D125" t="s">
        <v>271</v>
      </c>
      <c r="E125" s="3">
        <f t="shared" si="3"/>
        <v>2</v>
      </c>
      <c r="F125">
        <v>51.14</v>
      </c>
      <c r="G125">
        <v>4</v>
      </c>
      <c r="H125">
        <v>15.39</v>
      </c>
      <c r="I125">
        <v>6.9</v>
      </c>
      <c r="J125">
        <v>3.9</v>
      </c>
      <c r="K125">
        <v>2</v>
      </c>
      <c r="L125">
        <v>8</v>
      </c>
      <c r="M125">
        <v>-0.5</v>
      </c>
      <c r="N125">
        <v>-3.5</v>
      </c>
      <c r="O125" s="19">
        <f t="shared" si="2"/>
        <v>1</v>
      </c>
    </row>
    <row r="126" spans="1:15" x14ac:dyDescent="0.25">
      <c r="A126" s="39"/>
      <c r="B126" s="41"/>
      <c r="C126" t="s">
        <v>134</v>
      </c>
      <c r="D126" t="s">
        <v>271</v>
      </c>
      <c r="E126" s="3">
        <f t="shared" si="3"/>
        <v>2</v>
      </c>
      <c r="F126">
        <v>51.14</v>
      </c>
      <c r="G126">
        <v>4</v>
      </c>
      <c r="H126">
        <v>15.39</v>
      </c>
      <c r="I126">
        <v>6.9</v>
      </c>
      <c r="J126">
        <v>3.9</v>
      </c>
      <c r="K126">
        <v>2</v>
      </c>
      <c r="L126">
        <v>8</v>
      </c>
      <c r="M126">
        <v>-0.5</v>
      </c>
      <c r="N126">
        <v>-3.5</v>
      </c>
      <c r="O126" s="19">
        <f t="shared" si="2"/>
        <v>1</v>
      </c>
    </row>
    <row r="127" spans="1:15" x14ac:dyDescent="0.25">
      <c r="A127" s="39"/>
      <c r="B127" s="41"/>
      <c r="C127" t="s">
        <v>135</v>
      </c>
      <c r="D127" t="s">
        <v>271</v>
      </c>
      <c r="E127" s="3">
        <f t="shared" si="3"/>
        <v>2</v>
      </c>
      <c r="F127">
        <v>51.14</v>
      </c>
      <c r="G127">
        <v>4</v>
      </c>
      <c r="H127">
        <v>15.39</v>
      </c>
      <c r="I127">
        <v>6.9</v>
      </c>
      <c r="J127">
        <v>3.9</v>
      </c>
      <c r="K127">
        <v>2</v>
      </c>
      <c r="L127">
        <v>8</v>
      </c>
      <c r="M127">
        <v>-0.5</v>
      </c>
      <c r="N127">
        <v>-3.5</v>
      </c>
      <c r="O127" s="19">
        <f t="shared" si="2"/>
        <v>1</v>
      </c>
    </row>
    <row r="128" spans="1:15" x14ac:dyDescent="0.25">
      <c r="A128" s="39"/>
      <c r="B128" s="41"/>
      <c r="C128" t="s">
        <v>136</v>
      </c>
      <c r="D128" t="s">
        <v>271</v>
      </c>
      <c r="E128" s="3">
        <f t="shared" si="3"/>
        <v>2</v>
      </c>
      <c r="F128">
        <v>46.86</v>
      </c>
      <c r="G128">
        <v>4</v>
      </c>
      <c r="H128">
        <v>14.11</v>
      </c>
      <c r="I128">
        <v>5.61</v>
      </c>
      <c r="J128">
        <v>2.61</v>
      </c>
      <c r="K128">
        <v>2</v>
      </c>
      <c r="L128">
        <v>8</v>
      </c>
      <c r="M128">
        <v>-0.5</v>
      </c>
      <c r="N128">
        <v>-3.5</v>
      </c>
      <c r="O128" s="19">
        <f t="shared" si="2"/>
        <v>1</v>
      </c>
    </row>
    <row r="129" spans="1:15" x14ac:dyDescent="0.25">
      <c r="A129" s="39"/>
      <c r="B129" s="41"/>
      <c r="C129" t="s">
        <v>137</v>
      </c>
      <c r="D129" t="s">
        <v>271</v>
      </c>
      <c r="E129" s="3">
        <f t="shared" si="3"/>
        <v>2</v>
      </c>
      <c r="F129">
        <v>51.14</v>
      </c>
      <c r="G129">
        <v>4</v>
      </c>
      <c r="H129">
        <v>15.39</v>
      </c>
      <c r="I129">
        <v>6.9</v>
      </c>
      <c r="J129">
        <v>3.9</v>
      </c>
      <c r="K129">
        <v>2</v>
      </c>
      <c r="L129">
        <v>8</v>
      </c>
      <c r="M129">
        <v>-0.5</v>
      </c>
      <c r="N129">
        <v>-3.5</v>
      </c>
      <c r="O129" s="19">
        <f t="shared" si="2"/>
        <v>1</v>
      </c>
    </row>
    <row r="130" spans="1:15" x14ac:dyDescent="0.25">
      <c r="A130" s="39"/>
      <c r="B130" s="41"/>
      <c r="C130" t="s">
        <v>138</v>
      </c>
      <c r="D130" t="s">
        <v>271</v>
      </c>
      <c r="E130" s="3">
        <f t="shared" si="3"/>
        <v>2</v>
      </c>
      <c r="F130">
        <v>51.14</v>
      </c>
      <c r="G130">
        <v>4</v>
      </c>
      <c r="H130">
        <v>15.39</v>
      </c>
      <c r="I130">
        <v>6.9</v>
      </c>
      <c r="J130">
        <v>3.9</v>
      </c>
      <c r="K130">
        <v>2</v>
      </c>
      <c r="L130">
        <v>8</v>
      </c>
      <c r="M130">
        <v>-0.5</v>
      </c>
      <c r="N130">
        <v>-3.5</v>
      </c>
      <c r="O130" s="19">
        <f t="shared" si="2"/>
        <v>1</v>
      </c>
    </row>
    <row r="131" spans="1:15" x14ac:dyDescent="0.25">
      <c r="A131" s="39"/>
      <c r="B131" s="41"/>
      <c r="C131" t="s">
        <v>139</v>
      </c>
      <c r="D131" t="s">
        <v>271</v>
      </c>
      <c r="E131" s="3">
        <f t="shared" si="3"/>
        <v>2</v>
      </c>
      <c r="F131">
        <v>51.14</v>
      </c>
      <c r="G131">
        <v>4</v>
      </c>
      <c r="H131">
        <v>15.39</v>
      </c>
      <c r="I131">
        <v>6.9</v>
      </c>
      <c r="J131">
        <v>3.9</v>
      </c>
      <c r="K131">
        <v>2</v>
      </c>
      <c r="L131">
        <v>8</v>
      </c>
      <c r="M131">
        <v>-0.5</v>
      </c>
      <c r="N131">
        <v>-3.5</v>
      </c>
      <c r="O131" s="19">
        <f t="shared" ref="O131:O194" si="4">E131/K131</f>
        <v>1</v>
      </c>
    </row>
    <row r="132" spans="1:15" x14ac:dyDescent="0.25">
      <c r="A132" s="39"/>
      <c r="B132" s="41"/>
      <c r="C132" t="s">
        <v>140</v>
      </c>
      <c r="D132" t="s">
        <v>271</v>
      </c>
      <c r="E132" s="3">
        <f t="shared" ref="E132:E195" si="5">IF(D132="Muito Fraca", 1, IF(D132="Fraca", 2, IF(D132="Média", 3, 4)))</f>
        <v>2</v>
      </c>
      <c r="F132">
        <v>47.63</v>
      </c>
      <c r="G132">
        <v>4</v>
      </c>
      <c r="H132">
        <v>14.34</v>
      </c>
      <c r="I132">
        <v>5.84</v>
      </c>
      <c r="J132">
        <v>2.84</v>
      </c>
      <c r="K132">
        <v>2</v>
      </c>
      <c r="L132">
        <v>8</v>
      </c>
      <c r="M132">
        <v>-0.5</v>
      </c>
      <c r="N132">
        <v>-3.5</v>
      </c>
      <c r="O132" s="19">
        <f t="shared" si="4"/>
        <v>1</v>
      </c>
    </row>
    <row r="133" spans="1:15" x14ac:dyDescent="0.25">
      <c r="A133" s="39"/>
      <c r="B133" s="41"/>
      <c r="C133" t="s">
        <v>141</v>
      </c>
      <c r="D133" t="s">
        <v>271</v>
      </c>
      <c r="E133" s="3">
        <f t="shared" si="5"/>
        <v>2</v>
      </c>
      <c r="F133">
        <v>47.63</v>
      </c>
      <c r="G133">
        <v>4</v>
      </c>
      <c r="H133">
        <v>14.34</v>
      </c>
      <c r="I133">
        <v>5.84</v>
      </c>
      <c r="J133">
        <v>2.84</v>
      </c>
      <c r="K133">
        <v>2</v>
      </c>
      <c r="L133">
        <v>8</v>
      </c>
      <c r="M133">
        <v>-0.5</v>
      </c>
      <c r="N133">
        <v>-3.5</v>
      </c>
      <c r="O133" s="19">
        <f t="shared" si="4"/>
        <v>1</v>
      </c>
    </row>
    <row r="134" spans="1:15" x14ac:dyDescent="0.25">
      <c r="A134" s="39"/>
      <c r="B134" s="41"/>
      <c r="C134" t="s">
        <v>142</v>
      </c>
      <c r="D134" t="s">
        <v>271</v>
      </c>
      <c r="E134" s="3">
        <f t="shared" si="5"/>
        <v>2</v>
      </c>
      <c r="F134">
        <v>47.63</v>
      </c>
      <c r="G134">
        <v>4</v>
      </c>
      <c r="H134">
        <v>14.34</v>
      </c>
      <c r="I134">
        <v>5.84</v>
      </c>
      <c r="J134">
        <v>2.84</v>
      </c>
      <c r="K134">
        <v>2</v>
      </c>
      <c r="L134">
        <v>8</v>
      </c>
      <c r="M134">
        <v>-0.5</v>
      </c>
      <c r="N134">
        <v>-3.5</v>
      </c>
      <c r="O134" s="19">
        <f t="shared" si="4"/>
        <v>1</v>
      </c>
    </row>
    <row r="135" spans="1:15" x14ac:dyDescent="0.25">
      <c r="A135" s="39"/>
      <c r="B135" s="41"/>
      <c r="C135" t="s">
        <v>143</v>
      </c>
      <c r="D135" t="s">
        <v>271</v>
      </c>
      <c r="E135" s="3">
        <f t="shared" si="5"/>
        <v>2</v>
      </c>
      <c r="F135">
        <v>47.63</v>
      </c>
      <c r="G135">
        <v>4</v>
      </c>
      <c r="H135">
        <v>14.34</v>
      </c>
      <c r="I135">
        <v>5.84</v>
      </c>
      <c r="J135">
        <v>2.84</v>
      </c>
      <c r="K135">
        <v>2</v>
      </c>
      <c r="L135">
        <v>8</v>
      </c>
      <c r="M135">
        <v>-0.5</v>
      </c>
      <c r="N135">
        <v>-3.5</v>
      </c>
      <c r="O135" s="19">
        <f t="shared" si="4"/>
        <v>1</v>
      </c>
    </row>
    <row r="136" spans="1:15" x14ac:dyDescent="0.25">
      <c r="A136" s="39"/>
      <c r="B136" s="41"/>
      <c r="C136" t="s">
        <v>144</v>
      </c>
      <c r="D136" t="s">
        <v>271</v>
      </c>
      <c r="E136" s="3">
        <f t="shared" si="5"/>
        <v>2</v>
      </c>
      <c r="F136">
        <v>47.63</v>
      </c>
      <c r="G136">
        <v>4</v>
      </c>
      <c r="H136">
        <v>14.34</v>
      </c>
      <c r="I136">
        <v>5.84</v>
      </c>
      <c r="J136">
        <v>2.84</v>
      </c>
      <c r="K136">
        <v>2</v>
      </c>
      <c r="L136">
        <v>8</v>
      </c>
      <c r="M136">
        <v>-0.5</v>
      </c>
      <c r="N136">
        <v>-3.5</v>
      </c>
      <c r="O136" s="19">
        <f t="shared" si="4"/>
        <v>1</v>
      </c>
    </row>
    <row r="137" spans="1:15" x14ac:dyDescent="0.25">
      <c r="A137" s="39"/>
      <c r="B137" s="41"/>
      <c r="C137" t="s">
        <v>145</v>
      </c>
      <c r="D137" t="s">
        <v>271</v>
      </c>
      <c r="E137" s="3">
        <f t="shared" si="5"/>
        <v>2</v>
      </c>
      <c r="F137">
        <v>47.63</v>
      </c>
      <c r="G137">
        <v>4</v>
      </c>
      <c r="H137">
        <v>14.34</v>
      </c>
      <c r="I137">
        <v>5.84</v>
      </c>
      <c r="J137">
        <v>2.84</v>
      </c>
      <c r="K137">
        <v>2</v>
      </c>
      <c r="L137">
        <v>8</v>
      </c>
      <c r="M137">
        <v>-0.5</v>
      </c>
      <c r="N137">
        <v>-3.5</v>
      </c>
      <c r="O137" s="19">
        <f t="shared" si="4"/>
        <v>1</v>
      </c>
    </row>
    <row r="138" spans="1:15" x14ac:dyDescent="0.25">
      <c r="A138" s="39"/>
      <c r="B138" s="41"/>
      <c r="C138" t="s">
        <v>146</v>
      </c>
      <c r="D138" t="s">
        <v>271</v>
      </c>
      <c r="E138" s="3">
        <f t="shared" si="5"/>
        <v>2</v>
      </c>
      <c r="F138">
        <v>47.63</v>
      </c>
      <c r="G138">
        <v>4</v>
      </c>
      <c r="H138">
        <v>14.34</v>
      </c>
      <c r="I138">
        <v>5.84</v>
      </c>
      <c r="J138">
        <v>2.84</v>
      </c>
      <c r="K138">
        <v>2</v>
      </c>
      <c r="L138">
        <v>8</v>
      </c>
      <c r="M138">
        <v>-0.5</v>
      </c>
      <c r="N138">
        <v>-3.5</v>
      </c>
      <c r="O138" s="19">
        <f t="shared" si="4"/>
        <v>1</v>
      </c>
    </row>
    <row r="139" spans="1:15" x14ac:dyDescent="0.25">
      <c r="A139" s="39"/>
      <c r="B139" s="41"/>
      <c r="C139" t="s">
        <v>147</v>
      </c>
      <c r="D139" t="s">
        <v>271</v>
      </c>
      <c r="E139" s="3">
        <f t="shared" si="5"/>
        <v>2</v>
      </c>
      <c r="F139">
        <v>45.6</v>
      </c>
      <c r="G139">
        <v>4</v>
      </c>
      <c r="H139">
        <v>13.73</v>
      </c>
      <c r="I139">
        <v>5.23</v>
      </c>
      <c r="J139">
        <v>2.23</v>
      </c>
      <c r="K139">
        <v>2</v>
      </c>
      <c r="L139">
        <v>8</v>
      </c>
      <c r="M139">
        <v>-0.5</v>
      </c>
      <c r="N139">
        <v>-3.5</v>
      </c>
      <c r="O139" s="19">
        <f t="shared" si="4"/>
        <v>1</v>
      </c>
    </row>
    <row r="140" spans="1:15" x14ac:dyDescent="0.25">
      <c r="A140" s="39"/>
      <c r="B140" s="41"/>
      <c r="C140" t="s">
        <v>148</v>
      </c>
      <c r="D140" t="s">
        <v>271</v>
      </c>
      <c r="E140" s="3">
        <f t="shared" si="5"/>
        <v>2</v>
      </c>
      <c r="F140">
        <v>45.6</v>
      </c>
      <c r="G140">
        <v>4</v>
      </c>
      <c r="H140">
        <v>13.73</v>
      </c>
      <c r="I140">
        <v>5.23</v>
      </c>
      <c r="J140">
        <v>2.23</v>
      </c>
      <c r="K140">
        <v>2</v>
      </c>
      <c r="L140">
        <v>8</v>
      </c>
      <c r="M140">
        <v>-0.5</v>
      </c>
      <c r="N140">
        <v>-3.5</v>
      </c>
      <c r="O140" s="19">
        <f t="shared" si="4"/>
        <v>1</v>
      </c>
    </row>
    <row r="141" spans="1:15" x14ac:dyDescent="0.25">
      <c r="A141" s="39"/>
      <c r="B141" s="42"/>
      <c r="C141" t="s">
        <v>149</v>
      </c>
      <c r="D141" t="s">
        <v>271</v>
      </c>
      <c r="E141" s="3">
        <f t="shared" si="5"/>
        <v>2</v>
      </c>
      <c r="F141">
        <v>47.63</v>
      </c>
      <c r="G141">
        <v>4</v>
      </c>
      <c r="H141">
        <v>14.34</v>
      </c>
      <c r="I141">
        <v>5.84</v>
      </c>
      <c r="J141">
        <v>2.84</v>
      </c>
      <c r="K141">
        <v>2</v>
      </c>
      <c r="L141">
        <v>8</v>
      </c>
      <c r="M141">
        <v>-0.5</v>
      </c>
      <c r="N141">
        <v>-3.5</v>
      </c>
      <c r="O141" s="19">
        <f t="shared" si="4"/>
        <v>1</v>
      </c>
    </row>
    <row r="142" spans="1:15" x14ac:dyDescent="0.25">
      <c r="A142" s="39"/>
      <c r="B142" s="40" t="s">
        <v>6</v>
      </c>
      <c r="C142" s="21" t="s">
        <v>150</v>
      </c>
      <c r="D142" s="7" t="s">
        <v>271</v>
      </c>
      <c r="E142" s="8">
        <f t="shared" si="5"/>
        <v>2</v>
      </c>
      <c r="F142" s="7">
        <v>76.709999999999994</v>
      </c>
      <c r="G142" s="7">
        <v>4</v>
      </c>
      <c r="H142" s="7">
        <v>23.09</v>
      </c>
      <c r="I142" s="7">
        <v>14.59</v>
      </c>
      <c r="J142" s="7">
        <v>11.59</v>
      </c>
      <c r="K142" s="7">
        <v>4</v>
      </c>
      <c r="L142" s="7">
        <v>12</v>
      </c>
      <c r="M142" s="7">
        <v>3.5</v>
      </c>
      <c r="N142" s="7">
        <v>0.5</v>
      </c>
      <c r="O142" s="18">
        <f t="shared" si="4"/>
        <v>0.5</v>
      </c>
    </row>
    <row r="143" spans="1:15" x14ac:dyDescent="0.25">
      <c r="A143" s="39"/>
      <c r="B143" s="41"/>
      <c r="C143" s="22" t="s">
        <v>151</v>
      </c>
      <c r="D143" t="s">
        <v>51</v>
      </c>
      <c r="E143" s="3">
        <f t="shared" si="5"/>
        <v>3</v>
      </c>
      <c r="F143">
        <v>76.709999999999994</v>
      </c>
      <c r="G143">
        <v>4</v>
      </c>
      <c r="H143">
        <v>23.09</v>
      </c>
      <c r="I143">
        <v>14.59</v>
      </c>
      <c r="J143">
        <v>11.59</v>
      </c>
      <c r="K143">
        <v>4</v>
      </c>
      <c r="L143">
        <v>12</v>
      </c>
      <c r="M143">
        <v>3.5</v>
      </c>
      <c r="N143">
        <v>0.5</v>
      </c>
      <c r="O143" s="19">
        <f t="shared" si="4"/>
        <v>0.75</v>
      </c>
    </row>
    <row r="144" spans="1:15" x14ac:dyDescent="0.25">
      <c r="A144" s="39"/>
      <c r="B144" s="41"/>
      <c r="C144" s="22" t="s">
        <v>152</v>
      </c>
      <c r="D144" t="s">
        <v>51</v>
      </c>
      <c r="E144" s="3">
        <f t="shared" si="5"/>
        <v>3</v>
      </c>
      <c r="F144">
        <v>76.709999999999994</v>
      </c>
      <c r="G144">
        <v>4</v>
      </c>
      <c r="H144">
        <v>23.09</v>
      </c>
      <c r="I144">
        <v>14.59</v>
      </c>
      <c r="J144">
        <v>11.59</v>
      </c>
      <c r="K144">
        <v>4</v>
      </c>
      <c r="L144">
        <v>12</v>
      </c>
      <c r="M144">
        <v>3.5</v>
      </c>
      <c r="N144">
        <v>0.5</v>
      </c>
      <c r="O144" s="19">
        <f t="shared" si="4"/>
        <v>0.75</v>
      </c>
    </row>
    <row r="145" spans="1:15" x14ac:dyDescent="0.25">
      <c r="A145" s="39"/>
      <c r="B145" s="41"/>
      <c r="C145" s="22" t="s">
        <v>153</v>
      </c>
      <c r="D145" t="s">
        <v>51</v>
      </c>
      <c r="E145" s="3">
        <f t="shared" si="5"/>
        <v>3</v>
      </c>
      <c r="F145">
        <v>76.709999999999994</v>
      </c>
      <c r="G145">
        <v>4</v>
      </c>
      <c r="H145">
        <v>23.09</v>
      </c>
      <c r="I145">
        <v>14.59</v>
      </c>
      <c r="J145">
        <v>11.59</v>
      </c>
      <c r="K145">
        <v>4</v>
      </c>
      <c r="L145">
        <v>12</v>
      </c>
      <c r="M145">
        <v>3.5</v>
      </c>
      <c r="N145">
        <v>0.5</v>
      </c>
      <c r="O145" s="19">
        <f t="shared" si="4"/>
        <v>0.75</v>
      </c>
    </row>
    <row r="146" spans="1:15" x14ac:dyDescent="0.25">
      <c r="A146" s="39"/>
      <c r="B146" s="41"/>
      <c r="C146" s="22" t="s">
        <v>154</v>
      </c>
      <c r="D146" t="s">
        <v>51</v>
      </c>
      <c r="E146" s="3">
        <f t="shared" si="5"/>
        <v>3</v>
      </c>
      <c r="F146">
        <v>76.709999999999994</v>
      </c>
      <c r="G146">
        <v>4</v>
      </c>
      <c r="H146">
        <v>23.09</v>
      </c>
      <c r="I146">
        <v>14.59</v>
      </c>
      <c r="J146">
        <v>11.59</v>
      </c>
      <c r="K146">
        <v>4</v>
      </c>
      <c r="L146">
        <v>12</v>
      </c>
      <c r="M146">
        <v>3.5</v>
      </c>
      <c r="N146">
        <v>0.5</v>
      </c>
      <c r="O146" s="19">
        <f t="shared" si="4"/>
        <v>0.75</v>
      </c>
    </row>
    <row r="147" spans="1:15" x14ac:dyDescent="0.25">
      <c r="A147" s="39"/>
      <c r="B147" s="41"/>
      <c r="C147" s="22" t="s">
        <v>155</v>
      </c>
      <c r="D147" t="s">
        <v>51</v>
      </c>
      <c r="E147" s="3">
        <f t="shared" si="5"/>
        <v>3</v>
      </c>
      <c r="F147">
        <v>76.709999999999994</v>
      </c>
      <c r="G147">
        <v>4</v>
      </c>
      <c r="H147">
        <v>23.09</v>
      </c>
      <c r="I147">
        <v>14.59</v>
      </c>
      <c r="J147">
        <v>11.59</v>
      </c>
      <c r="K147">
        <v>4</v>
      </c>
      <c r="L147">
        <v>12</v>
      </c>
      <c r="M147">
        <v>3.5</v>
      </c>
      <c r="N147">
        <v>0.5</v>
      </c>
      <c r="O147" s="19">
        <f t="shared" si="4"/>
        <v>0.75</v>
      </c>
    </row>
    <row r="148" spans="1:15" x14ac:dyDescent="0.25">
      <c r="A148" s="39"/>
      <c r="B148" s="41"/>
      <c r="C148" s="22" t="s">
        <v>156</v>
      </c>
      <c r="D148" t="s">
        <v>51</v>
      </c>
      <c r="E148" s="3">
        <f t="shared" si="5"/>
        <v>3</v>
      </c>
      <c r="F148">
        <v>76.709999999999994</v>
      </c>
      <c r="G148">
        <v>4</v>
      </c>
      <c r="H148">
        <v>23.09</v>
      </c>
      <c r="I148">
        <v>14.59</v>
      </c>
      <c r="J148">
        <v>11.59</v>
      </c>
      <c r="K148">
        <v>4</v>
      </c>
      <c r="L148">
        <v>12</v>
      </c>
      <c r="M148">
        <v>3.5</v>
      </c>
      <c r="N148">
        <v>0.5</v>
      </c>
      <c r="O148" s="19">
        <f t="shared" si="4"/>
        <v>0.75</v>
      </c>
    </row>
    <row r="149" spans="1:15" x14ac:dyDescent="0.25">
      <c r="A149" s="39"/>
      <c r="B149" s="41"/>
      <c r="C149" s="22" t="s">
        <v>157</v>
      </c>
      <c r="D149" t="s">
        <v>51</v>
      </c>
      <c r="E149" s="3">
        <f t="shared" si="5"/>
        <v>3</v>
      </c>
      <c r="F149">
        <v>76.709999999999994</v>
      </c>
      <c r="G149">
        <v>4</v>
      </c>
      <c r="H149">
        <v>23.09</v>
      </c>
      <c r="I149">
        <v>14.59</v>
      </c>
      <c r="J149">
        <v>11.59</v>
      </c>
      <c r="K149">
        <v>4</v>
      </c>
      <c r="L149">
        <v>12</v>
      </c>
      <c r="M149">
        <v>3.5</v>
      </c>
      <c r="N149">
        <v>0.5</v>
      </c>
      <c r="O149" s="19">
        <f t="shared" si="4"/>
        <v>0.75</v>
      </c>
    </row>
    <row r="150" spans="1:15" x14ac:dyDescent="0.25">
      <c r="A150" s="39"/>
      <c r="B150" s="41"/>
      <c r="C150" s="22" t="s">
        <v>158</v>
      </c>
      <c r="D150" t="s">
        <v>51</v>
      </c>
      <c r="E150" s="3">
        <f t="shared" si="5"/>
        <v>3</v>
      </c>
      <c r="F150">
        <v>76.709999999999994</v>
      </c>
      <c r="G150">
        <v>4</v>
      </c>
      <c r="H150">
        <v>23.09</v>
      </c>
      <c r="I150">
        <v>14.59</v>
      </c>
      <c r="J150">
        <v>11.59</v>
      </c>
      <c r="K150">
        <v>4</v>
      </c>
      <c r="L150">
        <v>12</v>
      </c>
      <c r="M150">
        <v>3.5</v>
      </c>
      <c r="N150">
        <v>0.5</v>
      </c>
      <c r="O150" s="19">
        <f t="shared" si="4"/>
        <v>0.75</v>
      </c>
    </row>
    <row r="151" spans="1:15" x14ac:dyDescent="0.25">
      <c r="A151" s="39"/>
      <c r="B151" s="41"/>
      <c r="C151" s="22" t="s">
        <v>159</v>
      </c>
      <c r="D151" t="s">
        <v>51</v>
      </c>
      <c r="E151" s="3">
        <f t="shared" si="5"/>
        <v>3</v>
      </c>
      <c r="F151">
        <v>76.709999999999994</v>
      </c>
      <c r="G151">
        <v>4</v>
      </c>
      <c r="H151">
        <v>23.09</v>
      </c>
      <c r="I151">
        <v>14.59</v>
      </c>
      <c r="J151">
        <v>11.59</v>
      </c>
      <c r="K151">
        <v>4</v>
      </c>
      <c r="L151">
        <v>11.78</v>
      </c>
      <c r="M151">
        <v>3.28</v>
      </c>
      <c r="N151">
        <v>0.28000000000000003</v>
      </c>
      <c r="O151" s="19">
        <f t="shared" si="4"/>
        <v>0.75</v>
      </c>
    </row>
    <row r="152" spans="1:15" x14ac:dyDescent="0.25">
      <c r="A152" s="39"/>
      <c r="B152" s="41"/>
      <c r="C152" s="22" t="s">
        <v>160</v>
      </c>
      <c r="D152" t="s">
        <v>271</v>
      </c>
      <c r="E152" s="3">
        <f t="shared" si="5"/>
        <v>2</v>
      </c>
      <c r="F152">
        <v>71.45</v>
      </c>
      <c r="G152">
        <v>4</v>
      </c>
      <c r="H152">
        <v>21.51</v>
      </c>
      <c r="I152">
        <v>13.01</v>
      </c>
      <c r="J152">
        <v>10.01</v>
      </c>
      <c r="K152">
        <v>4</v>
      </c>
      <c r="L152">
        <v>12</v>
      </c>
      <c r="M152">
        <v>3.5</v>
      </c>
      <c r="N152">
        <v>0.5</v>
      </c>
      <c r="O152" s="19">
        <f t="shared" si="4"/>
        <v>0.5</v>
      </c>
    </row>
    <row r="153" spans="1:15" x14ac:dyDescent="0.25">
      <c r="A153" s="39"/>
      <c r="B153" s="41"/>
      <c r="C153" s="22" t="s">
        <v>161</v>
      </c>
      <c r="D153" t="s">
        <v>271</v>
      </c>
      <c r="E153" s="3">
        <f t="shared" si="5"/>
        <v>2</v>
      </c>
      <c r="F153">
        <v>71.45</v>
      </c>
      <c r="G153">
        <v>4</v>
      </c>
      <c r="H153">
        <v>21.51</v>
      </c>
      <c r="I153">
        <v>13.01</v>
      </c>
      <c r="J153">
        <v>10.01</v>
      </c>
      <c r="K153">
        <v>4</v>
      </c>
      <c r="L153">
        <v>12</v>
      </c>
      <c r="M153">
        <v>3.5</v>
      </c>
      <c r="N153">
        <v>0.5</v>
      </c>
      <c r="O153" s="19">
        <f t="shared" si="4"/>
        <v>0.5</v>
      </c>
    </row>
    <row r="154" spans="1:15" x14ac:dyDescent="0.25">
      <c r="A154" s="39"/>
      <c r="B154" s="41"/>
      <c r="C154" s="22" t="s">
        <v>162</v>
      </c>
      <c r="D154" t="s">
        <v>271</v>
      </c>
      <c r="E154" s="3">
        <f t="shared" si="5"/>
        <v>2</v>
      </c>
      <c r="F154">
        <v>71.45</v>
      </c>
      <c r="G154">
        <v>4</v>
      </c>
      <c r="H154">
        <v>21.51</v>
      </c>
      <c r="I154">
        <v>13.01</v>
      </c>
      <c r="J154">
        <v>10.01</v>
      </c>
      <c r="K154">
        <v>4</v>
      </c>
      <c r="L154">
        <v>12</v>
      </c>
      <c r="M154">
        <v>3.5</v>
      </c>
      <c r="N154">
        <v>0.5</v>
      </c>
      <c r="O154" s="19">
        <f t="shared" si="4"/>
        <v>0.5</v>
      </c>
    </row>
    <row r="155" spans="1:15" x14ac:dyDescent="0.25">
      <c r="A155" s="39"/>
      <c r="B155" s="41"/>
      <c r="C155" s="22" t="s">
        <v>163</v>
      </c>
      <c r="D155" t="s">
        <v>271</v>
      </c>
      <c r="E155" s="3">
        <f t="shared" si="5"/>
        <v>2</v>
      </c>
      <c r="F155">
        <v>71.45</v>
      </c>
      <c r="G155">
        <v>4</v>
      </c>
      <c r="H155">
        <v>21.51</v>
      </c>
      <c r="I155">
        <v>13.01</v>
      </c>
      <c r="J155">
        <v>10.01</v>
      </c>
      <c r="K155">
        <v>4</v>
      </c>
      <c r="L155">
        <v>12</v>
      </c>
      <c r="M155">
        <v>3.5</v>
      </c>
      <c r="N155">
        <v>0.5</v>
      </c>
      <c r="O155" s="19">
        <f t="shared" si="4"/>
        <v>0.5</v>
      </c>
    </row>
    <row r="156" spans="1:15" x14ac:dyDescent="0.25">
      <c r="A156" s="39"/>
      <c r="B156" s="41"/>
      <c r="C156" s="22" t="s">
        <v>164</v>
      </c>
      <c r="D156" t="s">
        <v>271</v>
      </c>
      <c r="E156" s="3">
        <f t="shared" si="5"/>
        <v>2</v>
      </c>
      <c r="F156">
        <v>71.45</v>
      </c>
      <c r="G156">
        <v>4</v>
      </c>
      <c r="H156">
        <v>21.51</v>
      </c>
      <c r="I156">
        <v>13.01</v>
      </c>
      <c r="J156">
        <v>10.01</v>
      </c>
      <c r="K156">
        <v>4</v>
      </c>
      <c r="L156">
        <v>12</v>
      </c>
      <c r="M156">
        <v>3.5</v>
      </c>
      <c r="N156">
        <v>0.5</v>
      </c>
      <c r="O156" s="19">
        <f t="shared" si="4"/>
        <v>0.5</v>
      </c>
    </row>
    <row r="157" spans="1:15" x14ac:dyDescent="0.25">
      <c r="A157" s="39"/>
      <c r="B157" s="41"/>
      <c r="C157" s="22" t="s">
        <v>165</v>
      </c>
      <c r="D157" t="s">
        <v>271</v>
      </c>
      <c r="E157" s="3">
        <f t="shared" si="5"/>
        <v>2</v>
      </c>
      <c r="F157">
        <v>71.45</v>
      </c>
      <c r="G157">
        <v>4</v>
      </c>
      <c r="H157">
        <v>21.51</v>
      </c>
      <c r="I157">
        <v>13.01</v>
      </c>
      <c r="J157">
        <v>10.01</v>
      </c>
      <c r="K157">
        <v>4</v>
      </c>
      <c r="L157">
        <v>12</v>
      </c>
      <c r="M157">
        <v>3.5</v>
      </c>
      <c r="N157">
        <v>0.5</v>
      </c>
      <c r="O157" s="19">
        <f t="shared" si="4"/>
        <v>0.5</v>
      </c>
    </row>
    <row r="158" spans="1:15" x14ac:dyDescent="0.25">
      <c r="A158" s="39"/>
      <c r="B158" s="41"/>
      <c r="C158" s="22" t="s">
        <v>166</v>
      </c>
      <c r="D158" t="s">
        <v>271</v>
      </c>
      <c r="E158" s="3">
        <f t="shared" si="5"/>
        <v>2</v>
      </c>
      <c r="F158">
        <v>71.45</v>
      </c>
      <c r="G158">
        <v>4</v>
      </c>
      <c r="H158">
        <v>21.51</v>
      </c>
      <c r="I158">
        <v>13.01</v>
      </c>
      <c r="J158">
        <v>10.01</v>
      </c>
      <c r="K158">
        <v>4</v>
      </c>
      <c r="L158">
        <v>12</v>
      </c>
      <c r="M158">
        <v>3.5</v>
      </c>
      <c r="N158">
        <v>0.5</v>
      </c>
      <c r="O158" s="19">
        <f t="shared" si="4"/>
        <v>0.5</v>
      </c>
    </row>
    <row r="159" spans="1:15" x14ac:dyDescent="0.25">
      <c r="A159" s="39"/>
      <c r="B159" s="41"/>
      <c r="C159" s="22" t="s">
        <v>167</v>
      </c>
      <c r="D159" t="s">
        <v>271</v>
      </c>
      <c r="E159" s="3">
        <f t="shared" si="5"/>
        <v>2</v>
      </c>
      <c r="F159">
        <v>68.41</v>
      </c>
      <c r="G159">
        <v>4</v>
      </c>
      <c r="H159">
        <v>20.59</v>
      </c>
      <c r="I159">
        <v>12.09</v>
      </c>
      <c r="J159">
        <v>9.09</v>
      </c>
      <c r="K159">
        <v>4</v>
      </c>
      <c r="L159">
        <v>11.67</v>
      </c>
      <c r="M159">
        <v>3.17</v>
      </c>
      <c r="N159">
        <v>0.17</v>
      </c>
      <c r="O159" s="19">
        <f t="shared" si="4"/>
        <v>0.5</v>
      </c>
    </row>
    <row r="160" spans="1:15" x14ac:dyDescent="0.25">
      <c r="A160" s="39"/>
      <c r="B160" s="41"/>
      <c r="C160" s="22" t="s">
        <v>168</v>
      </c>
      <c r="D160" t="s">
        <v>271</v>
      </c>
      <c r="E160" s="3">
        <f t="shared" si="5"/>
        <v>2</v>
      </c>
      <c r="F160">
        <v>71.45</v>
      </c>
      <c r="G160">
        <v>4</v>
      </c>
      <c r="H160">
        <v>21.51</v>
      </c>
      <c r="I160">
        <v>13.01</v>
      </c>
      <c r="J160">
        <v>10.01</v>
      </c>
      <c r="K160">
        <v>4</v>
      </c>
      <c r="L160">
        <v>12</v>
      </c>
      <c r="M160">
        <v>3.5</v>
      </c>
      <c r="N160">
        <v>0.5</v>
      </c>
      <c r="O160" s="19">
        <f t="shared" si="4"/>
        <v>0.5</v>
      </c>
    </row>
    <row r="161" spans="1:15" x14ac:dyDescent="0.25">
      <c r="A161" s="39"/>
      <c r="B161" s="42"/>
      <c r="C161" s="23" t="s">
        <v>169</v>
      </c>
      <c r="D161" s="10" t="s">
        <v>271</v>
      </c>
      <c r="E161" s="11">
        <f t="shared" si="5"/>
        <v>2</v>
      </c>
      <c r="F161" s="10">
        <v>71.45</v>
      </c>
      <c r="G161" s="10">
        <v>4</v>
      </c>
      <c r="H161" s="10">
        <v>21.51</v>
      </c>
      <c r="I161" s="10">
        <v>13.01</v>
      </c>
      <c r="J161" s="10">
        <v>10.01</v>
      </c>
      <c r="K161" s="10">
        <v>4</v>
      </c>
      <c r="L161" s="10">
        <v>11.26</v>
      </c>
      <c r="M161" s="10">
        <v>2.77</v>
      </c>
      <c r="N161" s="10">
        <v>-0.23</v>
      </c>
      <c r="O161" s="20">
        <f t="shared" si="4"/>
        <v>0.5</v>
      </c>
    </row>
    <row r="162" spans="1:15" x14ac:dyDescent="0.25">
      <c r="A162" s="39"/>
      <c r="B162" s="40" t="s">
        <v>5</v>
      </c>
      <c r="C162" s="21" t="s">
        <v>170</v>
      </c>
      <c r="D162" s="7" t="s">
        <v>51</v>
      </c>
      <c r="E162" s="8">
        <f t="shared" si="5"/>
        <v>3</v>
      </c>
      <c r="F162" s="7">
        <v>95.27</v>
      </c>
      <c r="G162" s="7">
        <v>4</v>
      </c>
      <c r="H162" s="7">
        <v>28.68</v>
      </c>
      <c r="I162" s="7">
        <v>20.18</v>
      </c>
      <c r="J162" s="7">
        <v>17.18</v>
      </c>
      <c r="K162" s="7">
        <v>4</v>
      </c>
      <c r="L162" s="7">
        <v>16</v>
      </c>
      <c r="M162" s="7">
        <v>7.5</v>
      </c>
      <c r="N162" s="7">
        <v>4.5</v>
      </c>
      <c r="O162" s="18">
        <f t="shared" si="4"/>
        <v>0.75</v>
      </c>
    </row>
    <row r="163" spans="1:15" x14ac:dyDescent="0.25">
      <c r="A163" s="39"/>
      <c r="B163" s="41"/>
      <c r="C163" s="22" t="s">
        <v>171</v>
      </c>
      <c r="D163" t="s">
        <v>51</v>
      </c>
      <c r="E163" s="3">
        <f t="shared" si="5"/>
        <v>3</v>
      </c>
      <c r="F163">
        <v>95.27</v>
      </c>
      <c r="G163">
        <v>4</v>
      </c>
      <c r="H163">
        <v>28.68</v>
      </c>
      <c r="I163">
        <v>20.18</v>
      </c>
      <c r="J163">
        <v>17.18</v>
      </c>
      <c r="K163">
        <v>4</v>
      </c>
      <c r="L163">
        <v>15.85</v>
      </c>
      <c r="M163">
        <v>7.35</v>
      </c>
      <c r="N163">
        <v>4.3499999999999996</v>
      </c>
      <c r="O163" s="19">
        <f t="shared" si="4"/>
        <v>0.75</v>
      </c>
    </row>
    <row r="164" spans="1:15" x14ac:dyDescent="0.25">
      <c r="A164" s="39"/>
      <c r="B164" s="41"/>
      <c r="C164" s="22" t="s">
        <v>172</v>
      </c>
      <c r="D164" t="s">
        <v>51</v>
      </c>
      <c r="E164" s="3">
        <f t="shared" si="5"/>
        <v>3</v>
      </c>
      <c r="F164">
        <v>95.27</v>
      </c>
      <c r="G164">
        <v>4</v>
      </c>
      <c r="H164">
        <v>28.68</v>
      </c>
      <c r="I164">
        <v>20.18</v>
      </c>
      <c r="J164">
        <v>17.18</v>
      </c>
      <c r="K164">
        <v>4</v>
      </c>
      <c r="L164">
        <v>16</v>
      </c>
      <c r="M164">
        <v>7.5</v>
      </c>
      <c r="N164">
        <v>4.5</v>
      </c>
      <c r="O164" s="19">
        <f t="shared" si="4"/>
        <v>0.75</v>
      </c>
    </row>
    <row r="165" spans="1:15" x14ac:dyDescent="0.25">
      <c r="A165" s="39"/>
      <c r="B165" s="41"/>
      <c r="C165" s="22" t="s">
        <v>173</v>
      </c>
      <c r="D165" t="s">
        <v>51</v>
      </c>
      <c r="E165" s="3">
        <f t="shared" si="5"/>
        <v>3</v>
      </c>
      <c r="F165">
        <v>95.27</v>
      </c>
      <c r="G165">
        <v>4</v>
      </c>
      <c r="H165">
        <v>28.68</v>
      </c>
      <c r="I165">
        <v>20.18</v>
      </c>
      <c r="J165">
        <v>17.18</v>
      </c>
      <c r="K165">
        <v>4</v>
      </c>
      <c r="L165">
        <v>16</v>
      </c>
      <c r="M165">
        <v>7.5</v>
      </c>
      <c r="N165">
        <v>4.5</v>
      </c>
      <c r="O165" s="19">
        <f t="shared" si="4"/>
        <v>0.75</v>
      </c>
    </row>
    <row r="166" spans="1:15" x14ac:dyDescent="0.25">
      <c r="A166" s="39"/>
      <c r="B166" s="41"/>
      <c r="C166" s="22" t="s">
        <v>174</v>
      </c>
      <c r="D166" t="s">
        <v>51</v>
      </c>
      <c r="E166" s="3">
        <f t="shared" si="5"/>
        <v>3</v>
      </c>
      <c r="F166">
        <v>95.27</v>
      </c>
      <c r="G166">
        <v>4</v>
      </c>
      <c r="H166">
        <v>28.68</v>
      </c>
      <c r="I166">
        <v>20.18</v>
      </c>
      <c r="J166">
        <v>17.18</v>
      </c>
      <c r="K166">
        <v>4</v>
      </c>
      <c r="L166">
        <v>16</v>
      </c>
      <c r="M166">
        <v>7.5</v>
      </c>
      <c r="N166">
        <v>4.5</v>
      </c>
      <c r="O166" s="19">
        <f t="shared" si="4"/>
        <v>0.75</v>
      </c>
    </row>
    <row r="167" spans="1:15" x14ac:dyDescent="0.25">
      <c r="A167" s="39"/>
      <c r="B167" s="41"/>
      <c r="C167" s="22" t="s">
        <v>175</v>
      </c>
      <c r="D167" t="s">
        <v>51</v>
      </c>
      <c r="E167" s="3">
        <f t="shared" si="5"/>
        <v>3</v>
      </c>
      <c r="F167">
        <v>95.27</v>
      </c>
      <c r="G167">
        <v>4</v>
      </c>
      <c r="H167">
        <v>28.68</v>
      </c>
      <c r="I167">
        <v>20.18</v>
      </c>
      <c r="J167">
        <v>17.18</v>
      </c>
      <c r="K167">
        <v>4</v>
      </c>
      <c r="L167">
        <v>16</v>
      </c>
      <c r="M167">
        <v>7.5</v>
      </c>
      <c r="N167">
        <v>4.5</v>
      </c>
      <c r="O167" s="19">
        <f t="shared" si="4"/>
        <v>0.75</v>
      </c>
    </row>
    <row r="168" spans="1:15" x14ac:dyDescent="0.25">
      <c r="A168" s="39"/>
      <c r="B168" s="41"/>
      <c r="C168" s="22" t="s">
        <v>176</v>
      </c>
      <c r="D168" t="s">
        <v>51</v>
      </c>
      <c r="E168" s="3">
        <f t="shared" si="5"/>
        <v>3</v>
      </c>
      <c r="F168">
        <v>91.21</v>
      </c>
      <c r="G168">
        <v>4</v>
      </c>
      <c r="H168">
        <v>27.46</v>
      </c>
      <c r="I168">
        <v>18.96</v>
      </c>
      <c r="J168">
        <v>15.96</v>
      </c>
      <c r="K168">
        <v>4</v>
      </c>
      <c r="L168">
        <v>16</v>
      </c>
      <c r="M168">
        <v>7.5</v>
      </c>
      <c r="N168">
        <v>4.5</v>
      </c>
      <c r="O168" s="19">
        <f t="shared" si="4"/>
        <v>0.75</v>
      </c>
    </row>
    <row r="169" spans="1:15" x14ac:dyDescent="0.25">
      <c r="A169" s="39"/>
      <c r="B169" s="41"/>
      <c r="C169" s="22" t="s">
        <v>177</v>
      </c>
      <c r="D169" t="s">
        <v>51</v>
      </c>
      <c r="E169" s="3">
        <f t="shared" si="5"/>
        <v>3</v>
      </c>
      <c r="F169">
        <v>95.27</v>
      </c>
      <c r="G169">
        <v>4</v>
      </c>
      <c r="H169">
        <v>28.68</v>
      </c>
      <c r="I169">
        <v>20.18</v>
      </c>
      <c r="J169">
        <v>17.18</v>
      </c>
      <c r="K169">
        <v>4</v>
      </c>
      <c r="L169">
        <v>16</v>
      </c>
      <c r="M169">
        <v>7.5</v>
      </c>
      <c r="N169">
        <v>4.5</v>
      </c>
      <c r="O169" s="19">
        <f t="shared" si="4"/>
        <v>0.75</v>
      </c>
    </row>
    <row r="170" spans="1:15" x14ac:dyDescent="0.25">
      <c r="A170" s="39"/>
      <c r="B170" s="41"/>
      <c r="C170" s="22" t="s">
        <v>178</v>
      </c>
      <c r="D170" t="s">
        <v>51</v>
      </c>
      <c r="E170" s="3">
        <f t="shared" si="5"/>
        <v>3</v>
      </c>
      <c r="F170">
        <v>95.27</v>
      </c>
      <c r="G170">
        <v>4</v>
      </c>
      <c r="H170">
        <v>28.68</v>
      </c>
      <c r="I170">
        <v>20.18</v>
      </c>
      <c r="J170">
        <v>17.18</v>
      </c>
      <c r="K170">
        <v>4</v>
      </c>
      <c r="L170">
        <v>16</v>
      </c>
      <c r="M170">
        <v>7.5</v>
      </c>
      <c r="N170">
        <v>4.5</v>
      </c>
      <c r="O170" s="19">
        <f t="shared" si="4"/>
        <v>0.75</v>
      </c>
    </row>
    <row r="171" spans="1:15" x14ac:dyDescent="0.25">
      <c r="A171" s="39"/>
      <c r="B171" s="41"/>
      <c r="C171" s="22" t="s">
        <v>179</v>
      </c>
      <c r="D171" t="s">
        <v>51</v>
      </c>
      <c r="E171" s="3">
        <f t="shared" si="5"/>
        <v>3</v>
      </c>
      <c r="F171">
        <v>95.27</v>
      </c>
      <c r="G171">
        <v>4</v>
      </c>
      <c r="H171">
        <v>28.68</v>
      </c>
      <c r="I171">
        <v>20.18</v>
      </c>
      <c r="J171">
        <v>17.18</v>
      </c>
      <c r="K171">
        <v>4</v>
      </c>
      <c r="L171">
        <v>16</v>
      </c>
      <c r="M171">
        <v>7.5</v>
      </c>
      <c r="N171">
        <v>4.5</v>
      </c>
      <c r="O171" s="19">
        <f t="shared" si="4"/>
        <v>0.75</v>
      </c>
    </row>
    <row r="172" spans="1:15" x14ac:dyDescent="0.25">
      <c r="A172" s="39"/>
      <c r="B172" s="41"/>
      <c r="C172" s="22" t="s">
        <v>180</v>
      </c>
      <c r="D172" t="s">
        <v>181</v>
      </c>
      <c r="E172" s="3">
        <f t="shared" si="5"/>
        <v>4</v>
      </c>
      <c r="F172">
        <v>102.28</v>
      </c>
      <c r="G172">
        <v>4</v>
      </c>
      <c r="H172">
        <v>30.79</v>
      </c>
      <c r="I172">
        <v>22.29</v>
      </c>
      <c r="J172">
        <v>19.29</v>
      </c>
      <c r="K172">
        <v>4</v>
      </c>
      <c r="L172">
        <v>16</v>
      </c>
      <c r="M172">
        <v>7.5</v>
      </c>
      <c r="N172">
        <v>4.5</v>
      </c>
      <c r="O172" s="19">
        <f t="shared" si="4"/>
        <v>1</v>
      </c>
    </row>
    <row r="173" spans="1:15" x14ac:dyDescent="0.25">
      <c r="A173" s="39"/>
      <c r="B173" s="41"/>
      <c r="C173" s="22" t="s">
        <v>182</v>
      </c>
      <c r="D173" t="s">
        <v>181</v>
      </c>
      <c r="E173" s="3">
        <f t="shared" si="5"/>
        <v>4</v>
      </c>
      <c r="F173">
        <v>102.28</v>
      </c>
      <c r="G173">
        <v>4</v>
      </c>
      <c r="H173">
        <v>30.79</v>
      </c>
      <c r="I173">
        <v>22.29</v>
      </c>
      <c r="J173">
        <v>19.29</v>
      </c>
      <c r="K173">
        <v>4</v>
      </c>
      <c r="L173">
        <v>16</v>
      </c>
      <c r="M173">
        <v>7.5</v>
      </c>
      <c r="N173">
        <v>4.5</v>
      </c>
      <c r="O173" s="19">
        <f t="shared" si="4"/>
        <v>1</v>
      </c>
    </row>
    <row r="174" spans="1:15" x14ac:dyDescent="0.25">
      <c r="A174" s="39"/>
      <c r="B174" s="41"/>
      <c r="C174" s="22" t="s">
        <v>183</v>
      </c>
      <c r="D174" t="s">
        <v>181</v>
      </c>
      <c r="E174" s="3">
        <f t="shared" si="5"/>
        <v>4</v>
      </c>
      <c r="F174">
        <v>102.28</v>
      </c>
      <c r="G174">
        <v>4</v>
      </c>
      <c r="H174">
        <v>30.79</v>
      </c>
      <c r="I174">
        <v>22.29</v>
      </c>
      <c r="J174">
        <v>19.29</v>
      </c>
      <c r="K174">
        <v>4</v>
      </c>
      <c r="L174">
        <v>16</v>
      </c>
      <c r="M174">
        <v>7.5</v>
      </c>
      <c r="N174">
        <v>4.5</v>
      </c>
      <c r="O174" s="19">
        <f t="shared" si="4"/>
        <v>1</v>
      </c>
    </row>
    <row r="175" spans="1:15" x14ac:dyDescent="0.25">
      <c r="A175" s="39"/>
      <c r="B175" s="41"/>
      <c r="C175" s="22" t="s">
        <v>184</v>
      </c>
      <c r="D175" t="s">
        <v>181</v>
      </c>
      <c r="E175" s="3">
        <f t="shared" si="5"/>
        <v>4</v>
      </c>
      <c r="F175">
        <v>102.28</v>
      </c>
      <c r="G175">
        <v>4</v>
      </c>
      <c r="H175">
        <v>30.79</v>
      </c>
      <c r="I175">
        <v>22.29</v>
      </c>
      <c r="J175">
        <v>19.29</v>
      </c>
      <c r="K175">
        <v>4</v>
      </c>
      <c r="L175">
        <v>16</v>
      </c>
      <c r="M175">
        <v>7.5</v>
      </c>
      <c r="N175">
        <v>4.5</v>
      </c>
      <c r="O175" s="19">
        <f t="shared" si="4"/>
        <v>1</v>
      </c>
    </row>
    <row r="176" spans="1:15" x14ac:dyDescent="0.25">
      <c r="A176" s="39"/>
      <c r="B176" s="41"/>
      <c r="C176" s="22" t="s">
        <v>185</v>
      </c>
      <c r="D176" t="s">
        <v>181</v>
      </c>
      <c r="E176" s="3">
        <f t="shared" si="5"/>
        <v>4</v>
      </c>
      <c r="F176">
        <v>102.28</v>
      </c>
      <c r="G176">
        <v>4</v>
      </c>
      <c r="H176">
        <v>30.79</v>
      </c>
      <c r="I176">
        <v>22.29</v>
      </c>
      <c r="J176">
        <v>19.29</v>
      </c>
      <c r="K176">
        <v>4</v>
      </c>
      <c r="L176">
        <v>16</v>
      </c>
      <c r="M176">
        <v>7.5</v>
      </c>
      <c r="N176">
        <v>4.5</v>
      </c>
      <c r="O176" s="19">
        <f t="shared" si="4"/>
        <v>1</v>
      </c>
    </row>
    <row r="177" spans="1:15" x14ac:dyDescent="0.25">
      <c r="A177" s="39"/>
      <c r="B177" s="41"/>
      <c r="C177" s="22" t="s">
        <v>186</v>
      </c>
      <c r="D177" t="s">
        <v>181</v>
      </c>
      <c r="E177" s="3">
        <f t="shared" si="5"/>
        <v>4</v>
      </c>
      <c r="F177">
        <v>102.28</v>
      </c>
      <c r="G177">
        <v>4</v>
      </c>
      <c r="H177">
        <v>30.79</v>
      </c>
      <c r="I177">
        <v>22.29</v>
      </c>
      <c r="J177">
        <v>19.29</v>
      </c>
      <c r="K177">
        <v>4</v>
      </c>
      <c r="L177">
        <v>16</v>
      </c>
      <c r="M177">
        <v>7.5</v>
      </c>
      <c r="N177">
        <v>4.5</v>
      </c>
      <c r="O177" s="19">
        <f t="shared" si="4"/>
        <v>1</v>
      </c>
    </row>
    <row r="178" spans="1:15" x14ac:dyDescent="0.25">
      <c r="A178" s="39"/>
      <c r="B178" s="41"/>
      <c r="C178" s="22" t="s">
        <v>187</v>
      </c>
      <c r="D178" t="s">
        <v>181</v>
      </c>
      <c r="E178" s="3">
        <f t="shared" si="5"/>
        <v>4</v>
      </c>
      <c r="F178">
        <v>102.28</v>
      </c>
      <c r="G178">
        <v>4</v>
      </c>
      <c r="H178">
        <v>30.79</v>
      </c>
      <c r="I178">
        <v>22.29</v>
      </c>
      <c r="J178">
        <v>19.29</v>
      </c>
      <c r="K178">
        <v>4</v>
      </c>
      <c r="L178">
        <v>16</v>
      </c>
      <c r="M178">
        <v>7.5</v>
      </c>
      <c r="N178">
        <v>4.5</v>
      </c>
      <c r="O178" s="19">
        <f t="shared" si="4"/>
        <v>1</v>
      </c>
    </row>
    <row r="179" spans="1:15" x14ac:dyDescent="0.25">
      <c r="A179" s="39"/>
      <c r="B179" s="41"/>
      <c r="C179" s="22" t="s">
        <v>188</v>
      </c>
      <c r="D179" t="s">
        <v>181</v>
      </c>
      <c r="E179" s="3">
        <f t="shared" si="5"/>
        <v>4</v>
      </c>
      <c r="F179">
        <v>102.28</v>
      </c>
      <c r="G179">
        <v>4</v>
      </c>
      <c r="H179">
        <v>30.79</v>
      </c>
      <c r="I179">
        <v>22.29</v>
      </c>
      <c r="J179">
        <v>19.29</v>
      </c>
      <c r="K179">
        <v>4</v>
      </c>
      <c r="L179">
        <v>16</v>
      </c>
      <c r="M179">
        <v>7.5</v>
      </c>
      <c r="N179">
        <v>4.5</v>
      </c>
      <c r="O179" s="19">
        <f t="shared" si="4"/>
        <v>1</v>
      </c>
    </row>
    <row r="180" spans="1:15" x14ac:dyDescent="0.25">
      <c r="A180" s="39"/>
      <c r="B180" s="41"/>
      <c r="C180" s="22" t="s">
        <v>189</v>
      </c>
      <c r="D180" t="s">
        <v>181</v>
      </c>
      <c r="E180" s="3">
        <f t="shared" si="5"/>
        <v>4</v>
      </c>
      <c r="F180">
        <v>102.28</v>
      </c>
      <c r="G180">
        <v>4</v>
      </c>
      <c r="H180">
        <v>30.79</v>
      </c>
      <c r="I180">
        <v>22.29</v>
      </c>
      <c r="J180">
        <v>19.29</v>
      </c>
      <c r="K180">
        <v>4</v>
      </c>
      <c r="L180">
        <v>16</v>
      </c>
      <c r="M180">
        <v>7.5</v>
      </c>
      <c r="N180">
        <v>4.5</v>
      </c>
      <c r="O180" s="19">
        <f t="shared" si="4"/>
        <v>1</v>
      </c>
    </row>
    <row r="181" spans="1:15" x14ac:dyDescent="0.25">
      <c r="A181" s="39"/>
      <c r="B181" s="42"/>
      <c r="C181" s="23" t="s">
        <v>190</v>
      </c>
      <c r="D181" s="10" t="s">
        <v>181</v>
      </c>
      <c r="E181" s="11">
        <f t="shared" si="5"/>
        <v>4</v>
      </c>
      <c r="F181" s="10">
        <v>102.28</v>
      </c>
      <c r="G181" s="10">
        <v>4</v>
      </c>
      <c r="H181" s="10">
        <v>30.79</v>
      </c>
      <c r="I181" s="10">
        <v>22.29</v>
      </c>
      <c r="J181" s="10">
        <v>19.29</v>
      </c>
      <c r="K181" s="10">
        <v>4</v>
      </c>
      <c r="L181" s="10">
        <v>16</v>
      </c>
      <c r="M181" s="10">
        <v>7.5</v>
      </c>
      <c r="N181" s="10">
        <v>4.5</v>
      </c>
      <c r="O181" s="20">
        <f t="shared" si="4"/>
        <v>1</v>
      </c>
    </row>
    <row r="182" spans="1:15" x14ac:dyDescent="0.25">
      <c r="A182" s="39" t="s">
        <v>3</v>
      </c>
      <c r="B182" s="40" t="s">
        <v>4</v>
      </c>
      <c r="C182" s="21" t="s">
        <v>191</v>
      </c>
      <c r="D182" s="7" t="s">
        <v>271</v>
      </c>
      <c r="E182" s="8">
        <f t="shared" si="5"/>
        <v>2</v>
      </c>
      <c r="F182" s="7">
        <v>51.14</v>
      </c>
      <c r="G182" s="7">
        <v>4</v>
      </c>
      <c r="H182" s="7">
        <v>15.39</v>
      </c>
      <c r="I182" s="7">
        <v>6.9</v>
      </c>
      <c r="J182" s="7">
        <v>3.9</v>
      </c>
      <c r="K182" s="7">
        <v>2</v>
      </c>
      <c r="L182" s="7">
        <v>8</v>
      </c>
      <c r="M182" s="7">
        <v>-0.5</v>
      </c>
      <c r="N182" s="7">
        <v>-3.5</v>
      </c>
      <c r="O182" s="18">
        <f t="shared" si="4"/>
        <v>1</v>
      </c>
    </row>
    <row r="183" spans="1:15" x14ac:dyDescent="0.25">
      <c r="A183" s="39"/>
      <c r="B183" s="41"/>
      <c r="C183" s="22" t="s">
        <v>192</v>
      </c>
      <c r="D183" t="s">
        <v>271</v>
      </c>
      <c r="E183" s="3">
        <f t="shared" si="5"/>
        <v>2</v>
      </c>
      <c r="F183">
        <v>52.44</v>
      </c>
      <c r="G183">
        <v>4</v>
      </c>
      <c r="H183">
        <v>15.79</v>
      </c>
      <c r="I183">
        <v>7.29</v>
      </c>
      <c r="J183">
        <v>4.29</v>
      </c>
      <c r="K183">
        <v>2</v>
      </c>
      <c r="L183">
        <v>8</v>
      </c>
      <c r="M183">
        <v>-0.5</v>
      </c>
      <c r="N183">
        <v>-3.5</v>
      </c>
      <c r="O183" s="19">
        <f t="shared" si="4"/>
        <v>1</v>
      </c>
    </row>
    <row r="184" spans="1:15" x14ac:dyDescent="0.25">
      <c r="A184" s="39"/>
      <c r="B184" s="41"/>
      <c r="C184" s="22" t="s">
        <v>193</v>
      </c>
      <c r="D184" t="s">
        <v>271</v>
      </c>
      <c r="E184" s="3">
        <f t="shared" si="5"/>
        <v>2</v>
      </c>
      <c r="F184">
        <v>51.14</v>
      </c>
      <c r="G184">
        <v>4</v>
      </c>
      <c r="H184">
        <v>15.39</v>
      </c>
      <c r="I184">
        <v>6.9</v>
      </c>
      <c r="J184">
        <v>3.9</v>
      </c>
      <c r="K184">
        <v>2</v>
      </c>
      <c r="L184">
        <v>8</v>
      </c>
      <c r="M184">
        <v>-0.5</v>
      </c>
      <c r="N184">
        <v>-3.5</v>
      </c>
      <c r="O184" s="19">
        <f t="shared" si="4"/>
        <v>1</v>
      </c>
    </row>
    <row r="185" spans="1:15" x14ac:dyDescent="0.25">
      <c r="A185" s="39"/>
      <c r="B185" s="41"/>
      <c r="C185" s="22" t="s">
        <v>194</v>
      </c>
      <c r="D185" t="s">
        <v>271</v>
      </c>
      <c r="E185" s="3">
        <f t="shared" si="5"/>
        <v>2</v>
      </c>
      <c r="F185">
        <v>51.14</v>
      </c>
      <c r="G185">
        <v>4</v>
      </c>
      <c r="H185">
        <v>15.39</v>
      </c>
      <c r="I185">
        <v>6.9</v>
      </c>
      <c r="J185">
        <v>3.9</v>
      </c>
      <c r="K185">
        <v>2</v>
      </c>
      <c r="L185">
        <v>8</v>
      </c>
      <c r="M185">
        <v>-0.5</v>
      </c>
      <c r="N185">
        <v>-3.5</v>
      </c>
      <c r="O185" s="19">
        <f t="shared" si="4"/>
        <v>1</v>
      </c>
    </row>
    <row r="186" spans="1:15" x14ac:dyDescent="0.25">
      <c r="A186" s="39"/>
      <c r="B186" s="41"/>
      <c r="C186" s="22" t="s">
        <v>195</v>
      </c>
      <c r="D186" t="s">
        <v>271</v>
      </c>
      <c r="E186" s="3">
        <f t="shared" si="5"/>
        <v>2</v>
      </c>
      <c r="F186">
        <v>44.75</v>
      </c>
      <c r="G186">
        <v>4</v>
      </c>
      <c r="H186">
        <v>13.47</v>
      </c>
      <c r="I186">
        <v>4.97</v>
      </c>
      <c r="J186">
        <v>1.97</v>
      </c>
      <c r="K186">
        <v>2</v>
      </c>
      <c r="L186">
        <v>7</v>
      </c>
      <c r="M186">
        <v>-1.5</v>
      </c>
      <c r="N186">
        <v>-4.5</v>
      </c>
      <c r="O186" s="19">
        <f t="shared" si="4"/>
        <v>1</v>
      </c>
    </row>
    <row r="187" spans="1:15" x14ac:dyDescent="0.25">
      <c r="A187" s="39"/>
      <c r="B187" s="41"/>
      <c r="C187" s="22" t="s">
        <v>196</v>
      </c>
      <c r="D187" t="s">
        <v>271</v>
      </c>
      <c r="E187" s="3">
        <f t="shared" si="5"/>
        <v>2</v>
      </c>
      <c r="F187">
        <v>48.7</v>
      </c>
      <c r="G187">
        <v>4</v>
      </c>
      <c r="H187">
        <v>14.66</v>
      </c>
      <c r="I187">
        <v>6.16</v>
      </c>
      <c r="J187">
        <v>3.16</v>
      </c>
      <c r="K187">
        <v>2</v>
      </c>
      <c r="L187">
        <v>8</v>
      </c>
      <c r="M187">
        <v>-0.5</v>
      </c>
      <c r="N187">
        <v>-3.5</v>
      </c>
      <c r="O187" s="19">
        <f t="shared" si="4"/>
        <v>1</v>
      </c>
    </row>
    <row r="188" spans="1:15" x14ac:dyDescent="0.25">
      <c r="A188" s="39"/>
      <c r="B188" s="41"/>
      <c r="C188" s="22" t="s">
        <v>197</v>
      </c>
      <c r="D188" t="s">
        <v>271</v>
      </c>
      <c r="E188" s="3">
        <f t="shared" si="5"/>
        <v>2</v>
      </c>
      <c r="F188">
        <v>52.44</v>
      </c>
      <c r="G188">
        <v>4</v>
      </c>
      <c r="H188">
        <v>15.79</v>
      </c>
      <c r="I188">
        <v>7.29</v>
      </c>
      <c r="J188">
        <v>4.29</v>
      </c>
      <c r="K188">
        <v>2</v>
      </c>
      <c r="L188">
        <v>8</v>
      </c>
      <c r="M188">
        <v>-0.5</v>
      </c>
      <c r="N188">
        <v>-3.5</v>
      </c>
      <c r="O188" s="19">
        <f t="shared" si="4"/>
        <v>1</v>
      </c>
    </row>
    <row r="189" spans="1:15" x14ac:dyDescent="0.25">
      <c r="A189" s="39"/>
      <c r="B189" s="41"/>
      <c r="C189" s="22" t="s">
        <v>198</v>
      </c>
      <c r="D189" t="s">
        <v>271</v>
      </c>
      <c r="E189" s="3">
        <f t="shared" si="5"/>
        <v>2</v>
      </c>
      <c r="F189">
        <v>51.14</v>
      </c>
      <c r="G189">
        <v>4</v>
      </c>
      <c r="H189">
        <v>15.39</v>
      </c>
      <c r="I189">
        <v>6.9</v>
      </c>
      <c r="J189">
        <v>3.9</v>
      </c>
      <c r="K189">
        <v>2</v>
      </c>
      <c r="L189">
        <v>8</v>
      </c>
      <c r="M189">
        <v>-0.5</v>
      </c>
      <c r="N189">
        <v>-3.5</v>
      </c>
      <c r="O189" s="19">
        <f t="shared" si="4"/>
        <v>1</v>
      </c>
    </row>
    <row r="190" spans="1:15" x14ac:dyDescent="0.25">
      <c r="A190" s="39"/>
      <c r="B190" s="41"/>
      <c r="C190" s="22" t="s">
        <v>199</v>
      </c>
      <c r="D190" t="s">
        <v>271</v>
      </c>
      <c r="E190" s="3">
        <f t="shared" si="5"/>
        <v>2</v>
      </c>
      <c r="F190">
        <v>52.44</v>
      </c>
      <c r="G190">
        <v>4</v>
      </c>
      <c r="H190">
        <v>15.79</v>
      </c>
      <c r="I190">
        <v>7.29</v>
      </c>
      <c r="J190">
        <v>4.29</v>
      </c>
      <c r="K190">
        <v>2</v>
      </c>
      <c r="L190">
        <v>8</v>
      </c>
      <c r="M190">
        <v>-0.5</v>
      </c>
      <c r="N190">
        <v>-3.5</v>
      </c>
      <c r="O190" s="19">
        <f t="shared" si="4"/>
        <v>1</v>
      </c>
    </row>
    <row r="191" spans="1:15" x14ac:dyDescent="0.25">
      <c r="A191" s="39"/>
      <c r="B191" s="41"/>
      <c r="C191" s="22" t="s">
        <v>200</v>
      </c>
      <c r="D191" t="s">
        <v>271</v>
      </c>
      <c r="E191" s="3">
        <f t="shared" si="5"/>
        <v>2</v>
      </c>
      <c r="F191">
        <v>39.33</v>
      </c>
      <c r="G191">
        <v>4</v>
      </c>
      <c r="H191">
        <v>11.84</v>
      </c>
      <c r="I191">
        <v>3.34</v>
      </c>
      <c r="J191">
        <v>0.34</v>
      </c>
      <c r="K191">
        <v>1</v>
      </c>
      <c r="L191">
        <v>6</v>
      </c>
      <c r="M191">
        <v>-2.5</v>
      </c>
      <c r="N191">
        <v>-5.5</v>
      </c>
      <c r="O191" s="19">
        <f t="shared" si="4"/>
        <v>2</v>
      </c>
    </row>
    <row r="192" spans="1:15" x14ac:dyDescent="0.25">
      <c r="A192" s="39"/>
      <c r="B192" s="41"/>
      <c r="C192" s="22" t="s">
        <v>201</v>
      </c>
      <c r="D192" t="s">
        <v>271</v>
      </c>
      <c r="E192" s="3">
        <f t="shared" si="5"/>
        <v>2</v>
      </c>
      <c r="F192">
        <v>48.7</v>
      </c>
      <c r="G192">
        <v>4</v>
      </c>
      <c r="H192">
        <v>14.66</v>
      </c>
      <c r="I192">
        <v>6.16</v>
      </c>
      <c r="J192">
        <v>3.16</v>
      </c>
      <c r="K192">
        <v>2</v>
      </c>
      <c r="L192">
        <v>8</v>
      </c>
      <c r="M192">
        <v>-0.5</v>
      </c>
      <c r="N192">
        <v>-3.5</v>
      </c>
      <c r="O192" s="19">
        <f t="shared" si="4"/>
        <v>1</v>
      </c>
    </row>
    <row r="193" spans="1:15" x14ac:dyDescent="0.25">
      <c r="A193" s="39"/>
      <c r="B193" s="41"/>
      <c r="C193" s="22" t="s">
        <v>202</v>
      </c>
      <c r="D193" t="s">
        <v>271</v>
      </c>
      <c r="E193" s="3">
        <f t="shared" si="5"/>
        <v>2</v>
      </c>
      <c r="F193">
        <v>51.14</v>
      </c>
      <c r="G193">
        <v>4</v>
      </c>
      <c r="H193">
        <v>15.39</v>
      </c>
      <c r="I193">
        <v>6.9</v>
      </c>
      <c r="J193">
        <v>3.9</v>
      </c>
      <c r="K193">
        <v>2</v>
      </c>
      <c r="L193">
        <v>8</v>
      </c>
      <c r="M193">
        <v>-0.5</v>
      </c>
      <c r="N193">
        <v>-3.5</v>
      </c>
      <c r="O193" s="19">
        <f t="shared" si="4"/>
        <v>1</v>
      </c>
    </row>
    <row r="194" spans="1:15" x14ac:dyDescent="0.25">
      <c r="A194" s="39"/>
      <c r="B194" s="41"/>
      <c r="C194" s="22" t="s">
        <v>203</v>
      </c>
      <c r="D194" t="s">
        <v>271</v>
      </c>
      <c r="E194" s="3">
        <f t="shared" si="5"/>
        <v>2</v>
      </c>
      <c r="F194">
        <v>51.14</v>
      </c>
      <c r="G194">
        <v>4</v>
      </c>
      <c r="H194">
        <v>15.39</v>
      </c>
      <c r="I194">
        <v>6.9</v>
      </c>
      <c r="J194">
        <v>3.9</v>
      </c>
      <c r="K194">
        <v>2</v>
      </c>
      <c r="L194">
        <v>8</v>
      </c>
      <c r="M194">
        <v>-0.5</v>
      </c>
      <c r="N194">
        <v>-3.5</v>
      </c>
      <c r="O194" s="19">
        <f t="shared" si="4"/>
        <v>1</v>
      </c>
    </row>
    <row r="195" spans="1:15" x14ac:dyDescent="0.25">
      <c r="A195" s="39"/>
      <c r="B195" s="41"/>
      <c r="C195" s="22" t="s">
        <v>204</v>
      </c>
      <c r="D195" t="s">
        <v>271</v>
      </c>
      <c r="E195" s="3">
        <f t="shared" si="5"/>
        <v>2</v>
      </c>
      <c r="F195">
        <v>52.44</v>
      </c>
      <c r="G195">
        <v>4</v>
      </c>
      <c r="H195">
        <v>15.79</v>
      </c>
      <c r="I195">
        <v>7.29</v>
      </c>
      <c r="J195">
        <v>4.29</v>
      </c>
      <c r="K195">
        <v>2</v>
      </c>
      <c r="L195">
        <v>8</v>
      </c>
      <c r="M195">
        <v>-0.5</v>
      </c>
      <c r="N195">
        <v>-3.5</v>
      </c>
      <c r="O195" s="19">
        <f t="shared" ref="O195:O241" si="6">E195/K195</f>
        <v>1</v>
      </c>
    </row>
    <row r="196" spans="1:15" x14ac:dyDescent="0.25">
      <c r="A196" s="39"/>
      <c r="B196" s="41"/>
      <c r="C196" s="22" t="s">
        <v>205</v>
      </c>
      <c r="D196" t="s">
        <v>271</v>
      </c>
      <c r="E196" s="3">
        <f t="shared" ref="E196:E241" si="7">IF(D196="Muito Fraca", 1, IF(D196="Fraca", 2, IF(D196="Média", 3, 4)))</f>
        <v>2</v>
      </c>
      <c r="F196">
        <v>51.14</v>
      </c>
      <c r="G196">
        <v>4</v>
      </c>
      <c r="H196">
        <v>15.39</v>
      </c>
      <c r="I196">
        <v>6.9</v>
      </c>
      <c r="J196">
        <v>3.9</v>
      </c>
      <c r="K196">
        <v>2</v>
      </c>
      <c r="L196">
        <v>8</v>
      </c>
      <c r="M196">
        <v>-0.5</v>
      </c>
      <c r="N196">
        <v>-3.5</v>
      </c>
      <c r="O196" s="19">
        <f t="shared" si="6"/>
        <v>1</v>
      </c>
    </row>
    <row r="197" spans="1:15" x14ac:dyDescent="0.25">
      <c r="A197" s="39"/>
      <c r="B197" s="41"/>
      <c r="C197" s="22" t="s">
        <v>206</v>
      </c>
      <c r="D197" t="s">
        <v>271</v>
      </c>
      <c r="E197" s="3">
        <f t="shared" si="7"/>
        <v>2</v>
      </c>
      <c r="F197">
        <v>52.44</v>
      </c>
      <c r="G197">
        <v>4</v>
      </c>
      <c r="H197">
        <v>15.79</v>
      </c>
      <c r="I197">
        <v>7.29</v>
      </c>
      <c r="J197">
        <v>4.29</v>
      </c>
      <c r="K197">
        <v>2</v>
      </c>
      <c r="L197">
        <v>8</v>
      </c>
      <c r="M197">
        <v>-0.5</v>
      </c>
      <c r="N197">
        <v>-3.5</v>
      </c>
      <c r="O197" s="19">
        <f t="shared" si="6"/>
        <v>1</v>
      </c>
    </row>
    <row r="198" spans="1:15" x14ac:dyDescent="0.25">
      <c r="A198" s="39"/>
      <c r="B198" s="41"/>
      <c r="C198" s="22" t="s">
        <v>207</v>
      </c>
      <c r="D198" t="s">
        <v>271</v>
      </c>
      <c r="E198" s="3">
        <f t="shared" si="7"/>
        <v>2</v>
      </c>
      <c r="F198">
        <v>51.14</v>
      </c>
      <c r="G198">
        <v>4</v>
      </c>
      <c r="H198">
        <v>15.39</v>
      </c>
      <c r="I198">
        <v>6.9</v>
      </c>
      <c r="J198">
        <v>3.9</v>
      </c>
      <c r="K198">
        <v>2</v>
      </c>
      <c r="L198">
        <v>8</v>
      </c>
      <c r="M198">
        <v>-0.5</v>
      </c>
      <c r="N198">
        <v>-3.5</v>
      </c>
      <c r="O198" s="19">
        <f t="shared" si="6"/>
        <v>1</v>
      </c>
    </row>
    <row r="199" spans="1:15" x14ac:dyDescent="0.25">
      <c r="A199" s="39"/>
      <c r="B199" s="41"/>
      <c r="C199" s="22" t="s">
        <v>208</v>
      </c>
      <c r="D199" t="s">
        <v>271</v>
      </c>
      <c r="E199" s="3">
        <f t="shared" si="7"/>
        <v>2</v>
      </c>
      <c r="F199">
        <v>51.14</v>
      </c>
      <c r="G199">
        <v>4</v>
      </c>
      <c r="H199">
        <v>15.39</v>
      </c>
      <c r="I199">
        <v>6.9</v>
      </c>
      <c r="J199">
        <v>3.9</v>
      </c>
      <c r="K199">
        <v>2</v>
      </c>
      <c r="L199">
        <v>8</v>
      </c>
      <c r="M199">
        <v>-0.5</v>
      </c>
      <c r="N199">
        <v>-3.5</v>
      </c>
      <c r="O199" s="19">
        <f t="shared" si="6"/>
        <v>1</v>
      </c>
    </row>
    <row r="200" spans="1:15" x14ac:dyDescent="0.25">
      <c r="A200" s="39"/>
      <c r="B200" s="41"/>
      <c r="C200" s="22" t="s">
        <v>209</v>
      </c>
      <c r="D200" t="s">
        <v>271</v>
      </c>
      <c r="E200" s="3">
        <f t="shared" si="7"/>
        <v>2</v>
      </c>
      <c r="F200">
        <v>52.44</v>
      </c>
      <c r="G200">
        <v>4</v>
      </c>
      <c r="H200">
        <v>15.79</v>
      </c>
      <c r="I200">
        <v>7.29</v>
      </c>
      <c r="J200">
        <v>4.29</v>
      </c>
      <c r="K200">
        <v>2</v>
      </c>
      <c r="L200">
        <v>8</v>
      </c>
      <c r="M200">
        <v>-0.5</v>
      </c>
      <c r="N200">
        <v>-3.5</v>
      </c>
      <c r="O200" s="19">
        <f t="shared" si="6"/>
        <v>1</v>
      </c>
    </row>
    <row r="201" spans="1:15" x14ac:dyDescent="0.25">
      <c r="A201" s="39"/>
      <c r="B201" s="42"/>
      <c r="C201" s="23" t="s">
        <v>210</v>
      </c>
      <c r="D201" s="10" t="s">
        <v>271</v>
      </c>
      <c r="E201" s="11">
        <f t="shared" si="7"/>
        <v>2</v>
      </c>
      <c r="F201" s="10">
        <v>52.44</v>
      </c>
      <c r="G201" s="10">
        <v>4</v>
      </c>
      <c r="H201" s="10">
        <v>15.79</v>
      </c>
      <c r="I201" s="10">
        <v>7.29</v>
      </c>
      <c r="J201" s="10">
        <v>4.29</v>
      </c>
      <c r="K201" s="10">
        <v>2</v>
      </c>
      <c r="L201" s="10">
        <v>8</v>
      </c>
      <c r="M201" s="10">
        <v>-0.5</v>
      </c>
      <c r="N201" s="10">
        <v>-3.5</v>
      </c>
      <c r="O201" s="20">
        <f t="shared" si="6"/>
        <v>1</v>
      </c>
    </row>
    <row r="202" spans="1:15" x14ac:dyDescent="0.25">
      <c r="A202" s="39"/>
      <c r="B202" s="40" t="s">
        <v>6</v>
      </c>
      <c r="C202" s="21" t="s">
        <v>211</v>
      </c>
      <c r="D202" s="7" t="s">
        <v>51</v>
      </c>
      <c r="E202" s="8">
        <f t="shared" si="7"/>
        <v>3</v>
      </c>
      <c r="F202" s="7">
        <v>76.709999999999994</v>
      </c>
      <c r="G202" s="7">
        <v>4</v>
      </c>
      <c r="H202" s="7">
        <v>23.09</v>
      </c>
      <c r="I202" s="7">
        <v>14.59</v>
      </c>
      <c r="J202" s="7">
        <v>11.59</v>
      </c>
      <c r="K202" s="7">
        <v>4</v>
      </c>
      <c r="L202" s="7">
        <v>12</v>
      </c>
      <c r="M202" s="7">
        <v>3.5</v>
      </c>
      <c r="N202" s="7">
        <v>0.5</v>
      </c>
      <c r="O202" s="18">
        <f t="shared" si="6"/>
        <v>0.75</v>
      </c>
    </row>
    <row r="203" spans="1:15" x14ac:dyDescent="0.25">
      <c r="A203" s="39"/>
      <c r="B203" s="41"/>
      <c r="C203" s="22" t="s">
        <v>212</v>
      </c>
      <c r="D203" t="s">
        <v>51</v>
      </c>
      <c r="E203" s="3">
        <f t="shared" si="7"/>
        <v>3</v>
      </c>
      <c r="F203">
        <v>78.66</v>
      </c>
      <c r="G203">
        <v>4</v>
      </c>
      <c r="H203">
        <v>23.68</v>
      </c>
      <c r="I203">
        <v>15.18</v>
      </c>
      <c r="J203">
        <v>12.18</v>
      </c>
      <c r="K203">
        <v>4</v>
      </c>
      <c r="L203">
        <v>12</v>
      </c>
      <c r="M203">
        <v>3.5</v>
      </c>
      <c r="N203">
        <v>0.5</v>
      </c>
      <c r="O203" s="19">
        <f t="shared" si="6"/>
        <v>0.75</v>
      </c>
    </row>
    <row r="204" spans="1:15" x14ac:dyDescent="0.25">
      <c r="A204" s="39"/>
      <c r="B204" s="41"/>
      <c r="C204" s="22" t="s">
        <v>213</v>
      </c>
      <c r="D204" t="s">
        <v>51</v>
      </c>
      <c r="E204" s="3">
        <f t="shared" si="7"/>
        <v>3</v>
      </c>
      <c r="F204">
        <v>78.66</v>
      </c>
      <c r="G204">
        <v>4</v>
      </c>
      <c r="H204">
        <v>23.68</v>
      </c>
      <c r="I204">
        <v>15.18</v>
      </c>
      <c r="J204">
        <v>12.18</v>
      </c>
      <c r="K204">
        <v>4</v>
      </c>
      <c r="L204">
        <v>12</v>
      </c>
      <c r="M204">
        <v>3.5</v>
      </c>
      <c r="N204">
        <v>0.5</v>
      </c>
      <c r="O204" s="19">
        <f t="shared" si="6"/>
        <v>0.75</v>
      </c>
    </row>
    <row r="205" spans="1:15" x14ac:dyDescent="0.25">
      <c r="A205" s="39"/>
      <c r="B205" s="41"/>
      <c r="C205" s="22" t="s">
        <v>214</v>
      </c>
      <c r="D205" t="s">
        <v>51</v>
      </c>
      <c r="E205" s="3">
        <f t="shared" si="7"/>
        <v>3</v>
      </c>
      <c r="F205">
        <v>76.709999999999994</v>
      </c>
      <c r="G205">
        <v>4</v>
      </c>
      <c r="H205">
        <v>23.09</v>
      </c>
      <c r="I205">
        <v>14.59</v>
      </c>
      <c r="J205">
        <v>11.59</v>
      </c>
      <c r="K205">
        <v>4</v>
      </c>
      <c r="L205">
        <v>12</v>
      </c>
      <c r="M205">
        <v>3.5</v>
      </c>
      <c r="N205">
        <v>0.5</v>
      </c>
      <c r="O205" s="19">
        <f t="shared" si="6"/>
        <v>0.75</v>
      </c>
    </row>
    <row r="206" spans="1:15" x14ac:dyDescent="0.25">
      <c r="A206" s="39"/>
      <c r="B206" s="41"/>
      <c r="C206" s="22" t="s">
        <v>215</v>
      </c>
      <c r="D206" t="s">
        <v>51</v>
      </c>
      <c r="E206" s="3">
        <f t="shared" si="7"/>
        <v>3</v>
      </c>
      <c r="F206">
        <v>78.66</v>
      </c>
      <c r="G206">
        <v>4</v>
      </c>
      <c r="H206">
        <v>23.68</v>
      </c>
      <c r="I206">
        <v>15.18</v>
      </c>
      <c r="J206">
        <v>12.18</v>
      </c>
      <c r="K206">
        <v>4</v>
      </c>
      <c r="L206">
        <v>12</v>
      </c>
      <c r="M206">
        <v>3.5</v>
      </c>
      <c r="N206">
        <v>0.5</v>
      </c>
      <c r="O206" s="19">
        <f t="shared" si="6"/>
        <v>0.75</v>
      </c>
    </row>
    <row r="207" spans="1:15" x14ac:dyDescent="0.25">
      <c r="A207" s="39"/>
      <c r="B207" s="41"/>
      <c r="C207" s="22" t="s">
        <v>216</v>
      </c>
      <c r="D207" t="s">
        <v>51</v>
      </c>
      <c r="E207" s="3">
        <f t="shared" si="7"/>
        <v>3</v>
      </c>
      <c r="F207">
        <v>76.709999999999994</v>
      </c>
      <c r="G207">
        <v>4</v>
      </c>
      <c r="H207">
        <v>23.09</v>
      </c>
      <c r="I207">
        <v>14.59</v>
      </c>
      <c r="J207">
        <v>11.59</v>
      </c>
      <c r="K207">
        <v>4</v>
      </c>
      <c r="L207">
        <v>12</v>
      </c>
      <c r="M207">
        <v>3.5</v>
      </c>
      <c r="N207">
        <v>0.5</v>
      </c>
      <c r="O207" s="19">
        <f t="shared" si="6"/>
        <v>0.75</v>
      </c>
    </row>
    <row r="208" spans="1:15" x14ac:dyDescent="0.25">
      <c r="A208" s="39"/>
      <c r="B208" s="41"/>
      <c r="C208" s="22" t="s">
        <v>217</v>
      </c>
      <c r="D208" t="s">
        <v>271</v>
      </c>
      <c r="E208" s="3">
        <f t="shared" si="7"/>
        <v>2</v>
      </c>
      <c r="F208">
        <v>71.45</v>
      </c>
      <c r="G208">
        <v>4</v>
      </c>
      <c r="H208">
        <v>21.51</v>
      </c>
      <c r="I208">
        <v>13.01</v>
      </c>
      <c r="J208">
        <v>10.01</v>
      </c>
      <c r="K208">
        <v>4</v>
      </c>
      <c r="L208">
        <v>12</v>
      </c>
      <c r="M208">
        <v>3.5</v>
      </c>
      <c r="N208">
        <v>0.5</v>
      </c>
      <c r="O208" s="19">
        <f t="shared" si="6"/>
        <v>0.5</v>
      </c>
    </row>
    <row r="209" spans="1:15" x14ac:dyDescent="0.25">
      <c r="A209" s="39"/>
      <c r="B209" s="41"/>
      <c r="C209" s="22" t="s">
        <v>218</v>
      </c>
      <c r="D209" t="s">
        <v>271</v>
      </c>
      <c r="E209" s="3">
        <f t="shared" si="7"/>
        <v>2</v>
      </c>
      <c r="F209">
        <v>78.66</v>
      </c>
      <c r="G209">
        <v>4</v>
      </c>
      <c r="H209">
        <v>23.68</v>
      </c>
      <c r="I209">
        <v>15.18</v>
      </c>
      <c r="J209">
        <v>12.18</v>
      </c>
      <c r="K209">
        <v>4</v>
      </c>
      <c r="L209">
        <v>12</v>
      </c>
      <c r="M209">
        <v>3.5</v>
      </c>
      <c r="N209">
        <v>0.5</v>
      </c>
      <c r="O209" s="19">
        <f t="shared" si="6"/>
        <v>0.5</v>
      </c>
    </row>
    <row r="210" spans="1:15" x14ac:dyDescent="0.25">
      <c r="A210" s="39"/>
      <c r="B210" s="41"/>
      <c r="C210" s="22" t="s">
        <v>219</v>
      </c>
      <c r="D210" t="s">
        <v>51</v>
      </c>
      <c r="E210" s="3">
        <f t="shared" si="7"/>
        <v>3</v>
      </c>
      <c r="F210">
        <v>78.66</v>
      </c>
      <c r="G210">
        <v>4</v>
      </c>
      <c r="H210">
        <v>23.68</v>
      </c>
      <c r="I210">
        <v>15.18</v>
      </c>
      <c r="J210">
        <v>12.18</v>
      </c>
      <c r="K210">
        <v>4</v>
      </c>
      <c r="L210">
        <v>12</v>
      </c>
      <c r="M210">
        <v>3.5</v>
      </c>
      <c r="N210">
        <v>0.5</v>
      </c>
      <c r="O210" s="19">
        <f t="shared" si="6"/>
        <v>0.75</v>
      </c>
    </row>
    <row r="211" spans="1:15" x14ac:dyDescent="0.25">
      <c r="A211" s="39"/>
      <c r="B211" s="41"/>
      <c r="C211" s="22" t="s">
        <v>220</v>
      </c>
      <c r="D211" t="s">
        <v>51</v>
      </c>
      <c r="E211" s="3">
        <f t="shared" si="7"/>
        <v>3</v>
      </c>
      <c r="F211">
        <v>78.66</v>
      </c>
      <c r="G211">
        <v>4</v>
      </c>
      <c r="H211">
        <v>23.68</v>
      </c>
      <c r="I211">
        <v>15.18</v>
      </c>
      <c r="J211">
        <v>12.18</v>
      </c>
      <c r="K211">
        <v>4</v>
      </c>
      <c r="L211">
        <v>12</v>
      </c>
      <c r="M211">
        <v>3.5</v>
      </c>
      <c r="N211">
        <v>0.5</v>
      </c>
      <c r="O211" s="19">
        <f t="shared" si="6"/>
        <v>0.75</v>
      </c>
    </row>
    <row r="212" spans="1:15" x14ac:dyDescent="0.25">
      <c r="A212" s="39"/>
      <c r="B212" s="41"/>
      <c r="C212" s="22" t="s">
        <v>221</v>
      </c>
      <c r="D212" t="s">
        <v>271</v>
      </c>
      <c r="E212" s="3">
        <f t="shared" si="7"/>
        <v>2</v>
      </c>
      <c r="F212">
        <v>78.66</v>
      </c>
      <c r="G212">
        <v>4</v>
      </c>
      <c r="H212">
        <v>23.68</v>
      </c>
      <c r="I212">
        <v>15.18</v>
      </c>
      <c r="J212">
        <v>12.18</v>
      </c>
      <c r="K212">
        <v>4</v>
      </c>
      <c r="L212">
        <v>12</v>
      </c>
      <c r="M212">
        <v>3.5</v>
      </c>
      <c r="N212">
        <v>0.5</v>
      </c>
      <c r="O212" s="19">
        <f t="shared" si="6"/>
        <v>0.5</v>
      </c>
    </row>
    <row r="213" spans="1:15" x14ac:dyDescent="0.25">
      <c r="A213" s="39"/>
      <c r="B213" s="41"/>
      <c r="C213" s="22" t="s">
        <v>222</v>
      </c>
      <c r="D213" t="s">
        <v>51</v>
      </c>
      <c r="E213" s="3">
        <f t="shared" si="7"/>
        <v>3</v>
      </c>
      <c r="F213">
        <v>76.709999999999994</v>
      </c>
      <c r="G213">
        <v>4</v>
      </c>
      <c r="H213">
        <v>23.09</v>
      </c>
      <c r="I213">
        <v>14.59</v>
      </c>
      <c r="J213">
        <v>11.59</v>
      </c>
      <c r="K213">
        <v>4</v>
      </c>
      <c r="L213">
        <v>12</v>
      </c>
      <c r="M213">
        <v>3.5</v>
      </c>
      <c r="N213">
        <v>0.5</v>
      </c>
      <c r="O213" s="19">
        <f t="shared" si="6"/>
        <v>0.75</v>
      </c>
    </row>
    <row r="214" spans="1:15" x14ac:dyDescent="0.25">
      <c r="A214" s="39"/>
      <c r="B214" s="41"/>
      <c r="C214" s="22" t="s">
        <v>223</v>
      </c>
      <c r="D214" t="s">
        <v>51</v>
      </c>
      <c r="E214" s="3">
        <f t="shared" si="7"/>
        <v>3</v>
      </c>
      <c r="F214">
        <v>78.66</v>
      </c>
      <c r="G214">
        <v>4</v>
      </c>
      <c r="H214">
        <v>23.68</v>
      </c>
      <c r="I214">
        <v>15.18</v>
      </c>
      <c r="J214">
        <v>12.18</v>
      </c>
      <c r="K214">
        <v>4</v>
      </c>
      <c r="L214">
        <v>12</v>
      </c>
      <c r="M214">
        <v>3.5</v>
      </c>
      <c r="N214">
        <v>0.5</v>
      </c>
      <c r="O214" s="19">
        <f t="shared" si="6"/>
        <v>0.75</v>
      </c>
    </row>
    <row r="215" spans="1:15" x14ac:dyDescent="0.25">
      <c r="A215" s="39"/>
      <c r="B215" s="41"/>
      <c r="C215" s="22" t="s">
        <v>224</v>
      </c>
      <c r="D215" t="s">
        <v>51</v>
      </c>
      <c r="E215" s="3">
        <f t="shared" si="7"/>
        <v>3</v>
      </c>
      <c r="F215">
        <v>76.709999999999994</v>
      </c>
      <c r="G215">
        <v>4</v>
      </c>
      <c r="H215">
        <v>23.09</v>
      </c>
      <c r="I215">
        <v>14.59</v>
      </c>
      <c r="J215">
        <v>11.59</v>
      </c>
      <c r="K215">
        <v>4</v>
      </c>
      <c r="L215">
        <v>12</v>
      </c>
      <c r="M215">
        <v>3.5</v>
      </c>
      <c r="N215">
        <v>0.5</v>
      </c>
      <c r="O215" s="19">
        <f t="shared" si="6"/>
        <v>0.75</v>
      </c>
    </row>
    <row r="216" spans="1:15" x14ac:dyDescent="0.25">
      <c r="A216" s="39"/>
      <c r="B216" s="41"/>
      <c r="C216" s="22" t="s">
        <v>225</v>
      </c>
      <c r="D216" t="s">
        <v>51</v>
      </c>
      <c r="E216" s="3">
        <f t="shared" si="7"/>
        <v>3</v>
      </c>
      <c r="F216">
        <v>76.709999999999994</v>
      </c>
      <c r="G216">
        <v>4</v>
      </c>
      <c r="H216">
        <v>23.09</v>
      </c>
      <c r="I216">
        <v>14.59</v>
      </c>
      <c r="J216">
        <v>11.59</v>
      </c>
      <c r="K216">
        <v>4</v>
      </c>
      <c r="L216">
        <v>12</v>
      </c>
      <c r="M216">
        <v>3.5</v>
      </c>
      <c r="N216">
        <v>0.5</v>
      </c>
      <c r="O216" s="19">
        <f t="shared" si="6"/>
        <v>0.75</v>
      </c>
    </row>
    <row r="217" spans="1:15" x14ac:dyDescent="0.25">
      <c r="A217" s="39"/>
      <c r="B217" s="41"/>
      <c r="C217" s="22" t="s">
        <v>226</v>
      </c>
      <c r="D217" t="s">
        <v>271</v>
      </c>
      <c r="E217" s="3">
        <f t="shared" si="7"/>
        <v>2</v>
      </c>
      <c r="F217">
        <v>76.709999999999994</v>
      </c>
      <c r="G217">
        <v>4</v>
      </c>
      <c r="H217">
        <v>23.09</v>
      </c>
      <c r="I217">
        <v>14.59</v>
      </c>
      <c r="J217">
        <v>11.59</v>
      </c>
      <c r="K217">
        <v>4</v>
      </c>
      <c r="L217">
        <v>12</v>
      </c>
      <c r="M217">
        <v>3.5</v>
      </c>
      <c r="N217">
        <v>0.5</v>
      </c>
      <c r="O217" s="19">
        <f t="shared" si="6"/>
        <v>0.5</v>
      </c>
    </row>
    <row r="218" spans="1:15" x14ac:dyDescent="0.25">
      <c r="A218" s="39"/>
      <c r="B218" s="41"/>
      <c r="C218" s="22" t="s">
        <v>227</v>
      </c>
      <c r="D218" t="s">
        <v>51</v>
      </c>
      <c r="E218" s="3">
        <f t="shared" si="7"/>
        <v>3</v>
      </c>
      <c r="F218">
        <v>78.66</v>
      </c>
      <c r="G218">
        <v>4</v>
      </c>
      <c r="H218">
        <v>23.68</v>
      </c>
      <c r="I218">
        <v>15.18</v>
      </c>
      <c r="J218">
        <v>12.18</v>
      </c>
      <c r="K218">
        <v>4</v>
      </c>
      <c r="L218">
        <v>12</v>
      </c>
      <c r="M218">
        <v>3.5</v>
      </c>
      <c r="N218">
        <v>0.5</v>
      </c>
      <c r="O218" s="19">
        <f t="shared" si="6"/>
        <v>0.75</v>
      </c>
    </row>
    <row r="219" spans="1:15" x14ac:dyDescent="0.25">
      <c r="A219" s="39"/>
      <c r="B219" s="41"/>
      <c r="C219" s="22" t="s">
        <v>228</v>
      </c>
      <c r="D219" t="s">
        <v>51</v>
      </c>
      <c r="E219" s="3">
        <f t="shared" si="7"/>
        <v>3</v>
      </c>
      <c r="F219">
        <v>76.709999999999994</v>
      </c>
      <c r="G219">
        <v>4</v>
      </c>
      <c r="H219">
        <v>23.09</v>
      </c>
      <c r="I219">
        <v>14.59</v>
      </c>
      <c r="J219">
        <v>11.59</v>
      </c>
      <c r="K219">
        <v>4</v>
      </c>
      <c r="L219">
        <v>12</v>
      </c>
      <c r="M219">
        <v>3.5</v>
      </c>
      <c r="N219">
        <v>0.5</v>
      </c>
      <c r="O219" s="19">
        <f t="shared" si="6"/>
        <v>0.75</v>
      </c>
    </row>
    <row r="220" spans="1:15" x14ac:dyDescent="0.25">
      <c r="A220" s="39"/>
      <c r="B220" s="41"/>
      <c r="C220" s="22" t="s">
        <v>229</v>
      </c>
      <c r="D220" t="s">
        <v>51</v>
      </c>
      <c r="E220" s="3">
        <f t="shared" si="7"/>
        <v>3</v>
      </c>
      <c r="F220">
        <v>78.66</v>
      </c>
      <c r="G220">
        <v>4</v>
      </c>
      <c r="H220">
        <v>23.68</v>
      </c>
      <c r="I220">
        <v>15.18</v>
      </c>
      <c r="J220">
        <v>12.18</v>
      </c>
      <c r="K220">
        <v>4</v>
      </c>
      <c r="L220">
        <v>12</v>
      </c>
      <c r="M220">
        <v>3.5</v>
      </c>
      <c r="N220">
        <v>0.5</v>
      </c>
      <c r="O220" s="19">
        <f t="shared" si="6"/>
        <v>0.75</v>
      </c>
    </row>
    <row r="221" spans="1:15" x14ac:dyDescent="0.25">
      <c r="A221" s="39"/>
      <c r="B221" s="42"/>
      <c r="C221" s="23" t="s">
        <v>230</v>
      </c>
      <c r="D221" s="10" t="s">
        <v>51</v>
      </c>
      <c r="E221" s="11">
        <f t="shared" si="7"/>
        <v>3</v>
      </c>
      <c r="F221" s="10">
        <v>78.66</v>
      </c>
      <c r="G221" s="10">
        <v>4</v>
      </c>
      <c r="H221" s="10">
        <v>23.68</v>
      </c>
      <c r="I221" s="10">
        <v>15.18</v>
      </c>
      <c r="J221" s="10">
        <v>12.18</v>
      </c>
      <c r="K221" s="10">
        <v>4</v>
      </c>
      <c r="L221" s="10">
        <v>12</v>
      </c>
      <c r="M221" s="10">
        <v>3.5</v>
      </c>
      <c r="N221" s="10">
        <v>0.5</v>
      </c>
      <c r="O221" s="20">
        <f t="shared" si="6"/>
        <v>0.75</v>
      </c>
    </row>
    <row r="222" spans="1:15" x14ac:dyDescent="0.25">
      <c r="A222" s="39"/>
      <c r="B222" s="40" t="s">
        <v>5</v>
      </c>
      <c r="C222" s="21" t="s">
        <v>231</v>
      </c>
      <c r="D222" s="7" t="s">
        <v>181</v>
      </c>
      <c r="E222" s="8">
        <f t="shared" si="7"/>
        <v>4</v>
      </c>
      <c r="F222" s="7">
        <v>104.87</v>
      </c>
      <c r="G222" s="7">
        <v>4</v>
      </c>
      <c r="H222" s="7">
        <v>31.57</v>
      </c>
      <c r="I222" s="7">
        <v>23.07</v>
      </c>
      <c r="J222" s="7">
        <v>20.07</v>
      </c>
      <c r="K222" s="7">
        <v>4</v>
      </c>
      <c r="L222" s="7">
        <v>16</v>
      </c>
      <c r="M222" s="7">
        <v>7.5</v>
      </c>
      <c r="N222" s="7">
        <v>4.5</v>
      </c>
      <c r="O222" s="18">
        <f t="shared" si="6"/>
        <v>1</v>
      </c>
    </row>
    <row r="223" spans="1:15" x14ac:dyDescent="0.25">
      <c r="A223" s="39"/>
      <c r="B223" s="41"/>
      <c r="C223" s="22" t="s">
        <v>232</v>
      </c>
      <c r="D223" t="s">
        <v>181</v>
      </c>
      <c r="E223" s="3">
        <f t="shared" si="7"/>
        <v>4</v>
      </c>
      <c r="F223">
        <v>104.87</v>
      </c>
      <c r="G223">
        <v>4</v>
      </c>
      <c r="H223">
        <v>31.57</v>
      </c>
      <c r="I223">
        <v>23.07</v>
      </c>
      <c r="J223">
        <v>20.07</v>
      </c>
      <c r="K223">
        <v>4</v>
      </c>
      <c r="L223">
        <v>16</v>
      </c>
      <c r="M223">
        <v>7.5</v>
      </c>
      <c r="N223">
        <v>4.5</v>
      </c>
      <c r="O223" s="19">
        <f t="shared" si="6"/>
        <v>1</v>
      </c>
    </row>
    <row r="224" spans="1:15" x14ac:dyDescent="0.25">
      <c r="A224" s="39"/>
      <c r="B224" s="41"/>
      <c r="C224" s="22" t="s">
        <v>233</v>
      </c>
      <c r="D224" t="s">
        <v>181</v>
      </c>
      <c r="E224" s="3">
        <f t="shared" si="7"/>
        <v>4</v>
      </c>
      <c r="F224">
        <v>104.87</v>
      </c>
      <c r="G224">
        <v>4</v>
      </c>
      <c r="H224">
        <v>31.57</v>
      </c>
      <c r="I224">
        <v>23.07</v>
      </c>
      <c r="J224">
        <v>20.07</v>
      </c>
      <c r="K224">
        <v>4</v>
      </c>
      <c r="L224">
        <v>16</v>
      </c>
      <c r="M224">
        <v>7.5</v>
      </c>
      <c r="N224">
        <v>4.5</v>
      </c>
      <c r="O224" s="19">
        <f t="shared" si="6"/>
        <v>1</v>
      </c>
    </row>
    <row r="225" spans="1:15" x14ac:dyDescent="0.25">
      <c r="A225" s="39"/>
      <c r="B225" s="41"/>
      <c r="C225" s="22" t="s">
        <v>234</v>
      </c>
      <c r="D225" t="s">
        <v>181</v>
      </c>
      <c r="E225" s="3">
        <f t="shared" si="7"/>
        <v>4</v>
      </c>
      <c r="F225">
        <v>102.28</v>
      </c>
      <c r="G225">
        <v>4</v>
      </c>
      <c r="H225">
        <v>30.79</v>
      </c>
      <c r="I225">
        <v>22.29</v>
      </c>
      <c r="J225">
        <v>19.29</v>
      </c>
      <c r="K225">
        <v>4</v>
      </c>
      <c r="L225">
        <v>16</v>
      </c>
      <c r="M225">
        <v>7.5</v>
      </c>
      <c r="N225">
        <v>4.5</v>
      </c>
      <c r="O225" s="19">
        <f t="shared" si="6"/>
        <v>1</v>
      </c>
    </row>
    <row r="226" spans="1:15" x14ac:dyDescent="0.25">
      <c r="A226" s="39"/>
      <c r="B226" s="41"/>
      <c r="C226" s="22" t="s">
        <v>235</v>
      </c>
      <c r="D226" t="s">
        <v>181</v>
      </c>
      <c r="E226" s="3">
        <f t="shared" si="7"/>
        <v>4</v>
      </c>
      <c r="F226">
        <v>104.87</v>
      </c>
      <c r="G226">
        <v>4</v>
      </c>
      <c r="H226">
        <v>31.57</v>
      </c>
      <c r="I226">
        <v>23.07</v>
      </c>
      <c r="J226">
        <v>20.07</v>
      </c>
      <c r="K226">
        <v>4</v>
      </c>
      <c r="L226">
        <v>16</v>
      </c>
      <c r="M226">
        <v>7.5</v>
      </c>
      <c r="N226">
        <v>4.5</v>
      </c>
      <c r="O226" s="19">
        <f t="shared" si="6"/>
        <v>1</v>
      </c>
    </row>
    <row r="227" spans="1:15" x14ac:dyDescent="0.25">
      <c r="A227" s="39"/>
      <c r="B227" s="41"/>
      <c r="C227" s="22" t="s">
        <v>236</v>
      </c>
      <c r="D227" t="s">
        <v>181</v>
      </c>
      <c r="E227" s="3">
        <f t="shared" si="7"/>
        <v>4</v>
      </c>
      <c r="F227">
        <v>104.87</v>
      </c>
      <c r="G227">
        <v>4</v>
      </c>
      <c r="H227">
        <v>31.57</v>
      </c>
      <c r="I227">
        <v>23.07</v>
      </c>
      <c r="J227">
        <v>20.07</v>
      </c>
      <c r="K227">
        <v>4</v>
      </c>
      <c r="L227">
        <v>16</v>
      </c>
      <c r="M227">
        <v>7.5</v>
      </c>
      <c r="N227">
        <v>4.5</v>
      </c>
      <c r="O227" s="19">
        <f t="shared" si="6"/>
        <v>1</v>
      </c>
    </row>
    <row r="228" spans="1:15" x14ac:dyDescent="0.25">
      <c r="A228" s="39"/>
      <c r="B228" s="41"/>
      <c r="C228" s="22" t="s">
        <v>237</v>
      </c>
      <c r="D228" t="s">
        <v>181</v>
      </c>
      <c r="E228" s="3">
        <f t="shared" si="7"/>
        <v>4</v>
      </c>
      <c r="F228">
        <v>104.87</v>
      </c>
      <c r="G228">
        <v>4</v>
      </c>
      <c r="H228">
        <v>31.57</v>
      </c>
      <c r="I228">
        <v>23.07</v>
      </c>
      <c r="J228">
        <v>20.07</v>
      </c>
      <c r="K228">
        <v>4</v>
      </c>
      <c r="L228">
        <v>16</v>
      </c>
      <c r="M228">
        <v>7.5</v>
      </c>
      <c r="N228">
        <v>4.5</v>
      </c>
      <c r="O228" s="19">
        <f t="shared" si="6"/>
        <v>1</v>
      </c>
    </row>
    <row r="229" spans="1:15" x14ac:dyDescent="0.25">
      <c r="A229" s="39"/>
      <c r="B229" s="41"/>
      <c r="C229" s="22" t="s">
        <v>238</v>
      </c>
      <c r="D229" t="s">
        <v>181</v>
      </c>
      <c r="E229" s="3">
        <f t="shared" si="7"/>
        <v>4</v>
      </c>
      <c r="F229">
        <v>104.87</v>
      </c>
      <c r="G229">
        <v>4</v>
      </c>
      <c r="H229">
        <v>31.57</v>
      </c>
      <c r="I229">
        <v>23.07</v>
      </c>
      <c r="J229">
        <v>20.07</v>
      </c>
      <c r="K229">
        <v>4</v>
      </c>
      <c r="L229">
        <v>16</v>
      </c>
      <c r="M229">
        <v>7.5</v>
      </c>
      <c r="N229">
        <v>4.5</v>
      </c>
      <c r="O229" s="19">
        <f t="shared" si="6"/>
        <v>1</v>
      </c>
    </row>
    <row r="230" spans="1:15" x14ac:dyDescent="0.25">
      <c r="A230" s="39"/>
      <c r="B230" s="41"/>
      <c r="C230" s="22" t="s">
        <v>239</v>
      </c>
      <c r="D230" t="s">
        <v>181</v>
      </c>
      <c r="E230" s="3">
        <f t="shared" si="7"/>
        <v>4</v>
      </c>
      <c r="F230">
        <v>104.87</v>
      </c>
      <c r="G230">
        <v>4</v>
      </c>
      <c r="H230">
        <v>31.57</v>
      </c>
      <c r="I230">
        <v>23.07</v>
      </c>
      <c r="J230">
        <v>20.07</v>
      </c>
      <c r="K230">
        <v>4</v>
      </c>
      <c r="L230">
        <v>16</v>
      </c>
      <c r="M230">
        <v>7.5</v>
      </c>
      <c r="N230">
        <v>4.5</v>
      </c>
      <c r="O230" s="19">
        <f t="shared" si="6"/>
        <v>1</v>
      </c>
    </row>
    <row r="231" spans="1:15" x14ac:dyDescent="0.25">
      <c r="A231" s="39"/>
      <c r="B231" s="41"/>
      <c r="C231" s="22" t="s">
        <v>240</v>
      </c>
      <c r="D231" t="s">
        <v>181</v>
      </c>
      <c r="E231" s="3">
        <f t="shared" si="7"/>
        <v>4</v>
      </c>
      <c r="F231">
        <v>104.87</v>
      </c>
      <c r="G231">
        <v>4</v>
      </c>
      <c r="H231">
        <v>31.57</v>
      </c>
      <c r="I231">
        <v>23.07</v>
      </c>
      <c r="J231">
        <v>20.07</v>
      </c>
      <c r="K231">
        <v>4</v>
      </c>
      <c r="L231">
        <v>15.9</v>
      </c>
      <c r="M231">
        <v>7.41</v>
      </c>
      <c r="N231">
        <v>4.41</v>
      </c>
      <c r="O231" s="19">
        <f t="shared" si="6"/>
        <v>1</v>
      </c>
    </row>
    <row r="232" spans="1:15" x14ac:dyDescent="0.25">
      <c r="A232" s="39"/>
      <c r="B232" s="41"/>
      <c r="C232" s="22" t="s">
        <v>241</v>
      </c>
      <c r="D232" t="s">
        <v>181</v>
      </c>
      <c r="E232" s="3">
        <f t="shared" si="7"/>
        <v>4</v>
      </c>
      <c r="F232">
        <v>104.87</v>
      </c>
      <c r="G232">
        <v>4</v>
      </c>
      <c r="H232">
        <v>31.57</v>
      </c>
      <c r="I232">
        <v>23.07</v>
      </c>
      <c r="J232">
        <v>20.07</v>
      </c>
      <c r="K232">
        <v>4</v>
      </c>
      <c r="L232">
        <v>16</v>
      </c>
      <c r="M232">
        <v>7.5</v>
      </c>
      <c r="N232">
        <v>4.5</v>
      </c>
      <c r="O232" s="19">
        <f t="shared" si="6"/>
        <v>1</v>
      </c>
    </row>
    <row r="233" spans="1:15" x14ac:dyDescent="0.25">
      <c r="A233" s="39"/>
      <c r="B233" s="41"/>
      <c r="C233" s="22" t="s">
        <v>242</v>
      </c>
      <c r="D233" t="s">
        <v>181</v>
      </c>
      <c r="E233" s="3">
        <f t="shared" si="7"/>
        <v>4</v>
      </c>
      <c r="F233">
        <v>102.28</v>
      </c>
      <c r="G233">
        <v>4</v>
      </c>
      <c r="H233">
        <v>30.79</v>
      </c>
      <c r="I233">
        <v>22.29</v>
      </c>
      <c r="J233">
        <v>19.29</v>
      </c>
      <c r="K233">
        <v>4</v>
      </c>
      <c r="L233">
        <v>16</v>
      </c>
      <c r="M233">
        <v>7.5</v>
      </c>
      <c r="N233">
        <v>4.5</v>
      </c>
      <c r="O233" s="19">
        <f t="shared" si="6"/>
        <v>1</v>
      </c>
    </row>
    <row r="234" spans="1:15" x14ac:dyDescent="0.25">
      <c r="A234" s="39"/>
      <c r="B234" s="41"/>
      <c r="C234" s="22" t="s">
        <v>243</v>
      </c>
      <c r="D234" t="s">
        <v>181</v>
      </c>
      <c r="E234" s="3">
        <f t="shared" si="7"/>
        <v>4</v>
      </c>
      <c r="F234">
        <v>104.87</v>
      </c>
      <c r="G234">
        <v>4</v>
      </c>
      <c r="H234">
        <v>31.57</v>
      </c>
      <c r="I234">
        <v>23.07</v>
      </c>
      <c r="J234">
        <v>20.07</v>
      </c>
      <c r="K234">
        <v>4</v>
      </c>
      <c r="L234">
        <v>16</v>
      </c>
      <c r="M234">
        <v>7.5</v>
      </c>
      <c r="N234">
        <v>4.5</v>
      </c>
      <c r="O234" s="19">
        <f t="shared" si="6"/>
        <v>1</v>
      </c>
    </row>
    <row r="235" spans="1:15" x14ac:dyDescent="0.25">
      <c r="A235" s="39"/>
      <c r="B235" s="41"/>
      <c r="C235" s="22" t="s">
        <v>244</v>
      </c>
      <c r="D235" t="s">
        <v>181</v>
      </c>
      <c r="E235" s="3">
        <f t="shared" si="7"/>
        <v>4</v>
      </c>
      <c r="F235">
        <v>102.28</v>
      </c>
      <c r="G235">
        <v>4</v>
      </c>
      <c r="H235">
        <v>30.79</v>
      </c>
      <c r="I235">
        <v>22.29</v>
      </c>
      <c r="J235">
        <v>19.29</v>
      </c>
      <c r="K235">
        <v>4</v>
      </c>
      <c r="L235">
        <v>16</v>
      </c>
      <c r="M235">
        <v>7.5</v>
      </c>
      <c r="N235">
        <v>4.5</v>
      </c>
      <c r="O235" s="19">
        <f t="shared" si="6"/>
        <v>1</v>
      </c>
    </row>
    <row r="236" spans="1:15" x14ac:dyDescent="0.25">
      <c r="A236" s="39"/>
      <c r="B236" s="41"/>
      <c r="C236" s="22" t="s">
        <v>245</v>
      </c>
      <c r="D236" t="s">
        <v>181</v>
      </c>
      <c r="E236" s="3">
        <f t="shared" si="7"/>
        <v>4</v>
      </c>
      <c r="F236">
        <v>104.87</v>
      </c>
      <c r="G236">
        <v>4</v>
      </c>
      <c r="H236">
        <v>31.57</v>
      </c>
      <c r="I236">
        <v>23.07</v>
      </c>
      <c r="J236">
        <v>20.07</v>
      </c>
      <c r="K236">
        <v>4</v>
      </c>
      <c r="L236">
        <v>16</v>
      </c>
      <c r="M236">
        <v>7.5</v>
      </c>
      <c r="N236">
        <v>4.5</v>
      </c>
      <c r="O236" s="19">
        <f t="shared" si="6"/>
        <v>1</v>
      </c>
    </row>
    <row r="237" spans="1:15" x14ac:dyDescent="0.25">
      <c r="A237" s="39"/>
      <c r="B237" s="41"/>
      <c r="C237" s="22" t="s">
        <v>246</v>
      </c>
      <c r="D237" t="s">
        <v>181</v>
      </c>
      <c r="E237" s="3">
        <f t="shared" si="7"/>
        <v>4</v>
      </c>
      <c r="F237">
        <v>102.28</v>
      </c>
      <c r="G237">
        <v>4</v>
      </c>
      <c r="H237">
        <v>30.79</v>
      </c>
      <c r="I237">
        <v>22.29</v>
      </c>
      <c r="J237">
        <v>19.29</v>
      </c>
      <c r="K237">
        <v>4</v>
      </c>
      <c r="L237">
        <v>16</v>
      </c>
      <c r="M237">
        <v>7.5</v>
      </c>
      <c r="N237">
        <v>4.5</v>
      </c>
      <c r="O237" s="19">
        <f t="shared" si="6"/>
        <v>1</v>
      </c>
    </row>
    <row r="238" spans="1:15" x14ac:dyDescent="0.25">
      <c r="A238" s="39"/>
      <c r="B238" s="41"/>
      <c r="C238" s="22" t="s">
        <v>247</v>
      </c>
      <c r="D238" t="s">
        <v>181</v>
      </c>
      <c r="E238" s="3">
        <f t="shared" si="7"/>
        <v>4</v>
      </c>
      <c r="F238">
        <v>102.28</v>
      </c>
      <c r="G238">
        <v>4</v>
      </c>
      <c r="H238">
        <v>30.79</v>
      </c>
      <c r="I238">
        <v>22.29</v>
      </c>
      <c r="J238">
        <v>19.29</v>
      </c>
      <c r="K238">
        <v>4</v>
      </c>
      <c r="L238">
        <v>16</v>
      </c>
      <c r="M238">
        <v>7.5</v>
      </c>
      <c r="N238">
        <v>4.5</v>
      </c>
      <c r="O238" s="19">
        <f t="shared" si="6"/>
        <v>1</v>
      </c>
    </row>
    <row r="239" spans="1:15" x14ac:dyDescent="0.25">
      <c r="A239" s="39"/>
      <c r="B239" s="41"/>
      <c r="C239" s="22" t="s">
        <v>248</v>
      </c>
      <c r="D239" t="s">
        <v>181</v>
      </c>
      <c r="E239" s="3">
        <f t="shared" si="7"/>
        <v>4</v>
      </c>
      <c r="F239">
        <v>104.87</v>
      </c>
      <c r="G239">
        <v>4</v>
      </c>
      <c r="H239">
        <v>31.57</v>
      </c>
      <c r="I239">
        <v>23.07</v>
      </c>
      <c r="J239">
        <v>20.07</v>
      </c>
      <c r="K239">
        <v>4</v>
      </c>
      <c r="L239">
        <v>16</v>
      </c>
      <c r="M239">
        <v>7.5</v>
      </c>
      <c r="N239">
        <v>4.5</v>
      </c>
      <c r="O239" s="19">
        <f t="shared" si="6"/>
        <v>1</v>
      </c>
    </row>
    <row r="240" spans="1:15" x14ac:dyDescent="0.25">
      <c r="A240" s="39"/>
      <c r="B240" s="41"/>
      <c r="C240" s="22" t="s">
        <v>249</v>
      </c>
      <c r="D240" t="s">
        <v>181</v>
      </c>
      <c r="E240" s="3">
        <f t="shared" si="7"/>
        <v>4</v>
      </c>
      <c r="F240">
        <v>104.87</v>
      </c>
      <c r="G240">
        <v>4</v>
      </c>
      <c r="H240">
        <v>31.57</v>
      </c>
      <c r="I240">
        <v>23.07</v>
      </c>
      <c r="J240">
        <v>20.07</v>
      </c>
      <c r="K240">
        <v>4</v>
      </c>
      <c r="L240">
        <v>16</v>
      </c>
      <c r="M240">
        <v>7.5</v>
      </c>
      <c r="N240">
        <v>4.5</v>
      </c>
      <c r="O240" s="19">
        <f t="shared" si="6"/>
        <v>1</v>
      </c>
    </row>
    <row r="241" spans="1:15" x14ac:dyDescent="0.25">
      <c r="A241" s="39"/>
      <c r="B241" s="42"/>
      <c r="C241" s="23" t="s">
        <v>250</v>
      </c>
      <c r="D241" s="10" t="s">
        <v>181</v>
      </c>
      <c r="E241" s="11">
        <f t="shared" si="7"/>
        <v>4</v>
      </c>
      <c r="F241" s="10">
        <v>104.87</v>
      </c>
      <c r="G241" s="10">
        <v>4</v>
      </c>
      <c r="H241" s="10">
        <v>31.57</v>
      </c>
      <c r="I241" s="10">
        <v>23.07</v>
      </c>
      <c r="J241" s="10">
        <v>20.07</v>
      </c>
      <c r="K241" s="10">
        <v>4</v>
      </c>
      <c r="L241" s="10">
        <v>16</v>
      </c>
      <c r="M241" s="10">
        <v>7.5</v>
      </c>
      <c r="N241" s="10">
        <v>4.5</v>
      </c>
      <c r="O241" s="20">
        <f t="shared" si="6"/>
        <v>1</v>
      </c>
    </row>
  </sheetData>
  <autoFilter ref="A1:N241" xr:uid="{00000000-0001-0000-0000-000000000000}"/>
  <mergeCells count="278">
    <mergeCell ref="S98:T98"/>
    <mergeCell ref="U98:V98"/>
    <mergeCell ref="W98:X98"/>
    <mergeCell ref="S99:T99"/>
    <mergeCell ref="U99:V99"/>
    <mergeCell ref="W99:X99"/>
    <mergeCell ref="S95:T95"/>
    <mergeCell ref="U95:V95"/>
    <mergeCell ref="W95:X95"/>
    <mergeCell ref="S96:T96"/>
    <mergeCell ref="U96:V96"/>
    <mergeCell ref="W96:X96"/>
    <mergeCell ref="S97:T97"/>
    <mergeCell ref="U97:V97"/>
    <mergeCell ref="W97:X97"/>
    <mergeCell ref="B222:B241"/>
    <mergeCell ref="A2:A61"/>
    <mergeCell ref="A62:A121"/>
    <mergeCell ref="A122:A181"/>
    <mergeCell ref="A182:A241"/>
    <mergeCell ref="B2:B21"/>
    <mergeCell ref="B22:B41"/>
    <mergeCell ref="B42:B61"/>
    <mergeCell ref="B62:B81"/>
    <mergeCell ref="B82:B101"/>
    <mergeCell ref="B102:B121"/>
    <mergeCell ref="B122:B141"/>
    <mergeCell ref="B142:B161"/>
    <mergeCell ref="B162:B181"/>
    <mergeCell ref="B182:B201"/>
    <mergeCell ref="B202:B221"/>
    <mergeCell ref="S9:T9"/>
    <mergeCell ref="U9:V9"/>
    <mergeCell ref="W9:X9"/>
    <mergeCell ref="S10:T10"/>
    <mergeCell ref="U10:V10"/>
    <mergeCell ref="W10:X10"/>
    <mergeCell ref="R6:X6"/>
    <mergeCell ref="S7:T7"/>
    <mergeCell ref="U7:V7"/>
    <mergeCell ref="W7:X7"/>
    <mergeCell ref="S8:T8"/>
    <mergeCell ref="U8:V8"/>
    <mergeCell ref="W8:X8"/>
    <mergeCell ref="S13:T13"/>
    <mergeCell ref="U13:V13"/>
    <mergeCell ref="W13:X13"/>
    <mergeCell ref="S14:T14"/>
    <mergeCell ref="U14:V14"/>
    <mergeCell ref="W14:X14"/>
    <mergeCell ref="S11:T11"/>
    <mergeCell ref="U11:V11"/>
    <mergeCell ref="W11:X11"/>
    <mergeCell ref="S12:T12"/>
    <mergeCell ref="U12:V12"/>
    <mergeCell ref="W12:X12"/>
    <mergeCell ref="R18:X18"/>
    <mergeCell ref="S19:T19"/>
    <mergeCell ref="U19:V19"/>
    <mergeCell ref="W19:X19"/>
    <mergeCell ref="S20:T20"/>
    <mergeCell ref="U20:V20"/>
    <mergeCell ref="W20:X20"/>
    <mergeCell ref="S15:T15"/>
    <mergeCell ref="U15:V15"/>
    <mergeCell ref="W15:X15"/>
    <mergeCell ref="S16:T16"/>
    <mergeCell ref="U16:V16"/>
    <mergeCell ref="W16:X16"/>
    <mergeCell ref="S23:T23"/>
    <mergeCell ref="U23:V23"/>
    <mergeCell ref="W23:X23"/>
    <mergeCell ref="S24:T24"/>
    <mergeCell ref="U24:V24"/>
    <mergeCell ref="W24:X24"/>
    <mergeCell ref="S21:T21"/>
    <mergeCell ref="U21:V21"/>
    <mergeCell ref="W21:X21"/>
    <mergeCell ref="S22:T22"/>
    <mergeCell ref="U22:V22"/>
    <mergeCell ref="W22:X22"/>
    <mergeCell ref="S27:T27"/>
    <mergeCell ref="U27:V27"/>
    <mergeCell ref="W27:X27"/>
    <mergeCell ref="S28:T28"/>
    <mergeCell ref="U28:V28"/>
    <mergeCell ref="W28:X28"/>
    <mergeCell ref="S25:T25"/>
    <mergeCell ref="U25:V25"/>
    <mergeCell ref="W25:X25"/>
    <mergeCell ref="S26:T26"/>
    <mergeCell ref="U26:V26"/>
    <mergeCell ref="W26:X26"/>
    <mergeCell ref="S33:T33"/>
    <mergeCell ref="U33:V33"/>
    <mergeCell ref="W33:X33"/>
    <mergeCell ref="S34:T34"/>
    <mergeCell ref="U34:V34"/>
    <mergeCell ref="W34:X34"/>
    <mergeCell ref="R30:X30"/>
    <mergeCell ref="S31:T31"/>
    <mergeCell ref="U31:V31"/>
    <mergeCell ref="W31:X31"/>
    <mergeCell ref="S32:T32"/>
    <mergeCell ref="U32:V32"/>
    <mergeCell ref="W32:X32"/>
    <mergeCell ref="S37:T37"/>
    <mergeCell ref="U37:V37"/>
    <mergeCell ref="W37:X37"/>
    <mergeCell ref="S38:T38"/>
    <mergeCell ref="U38:V38"/>
    <mergeCell ref="W38:X38"/>
    <mergeCell ref="S35:T35"/>
    <mergeCell ref="U35:V35"/>
    <mergeCell ref="W35:X35"/>
    <mergeCell ref="S36:T36"/>
    <mergeCell ref="U36:V36"/>
    <mergeCell ref="W36:X36"/>
    <mergeCell ref="R42:X42"/>
    <mergeCell ref="S43:T43"/>
    <mergeCell ref="U43:V43"/>
    <mergeCell ref="W43:X43"/>
    <mergeCell ref="S44:T44"/>
    <mergeCell ref="U44:V44"/>
    <mergeCell ref="W44:X44"/>
    <mergeCell ref="S39:T39"/>
    <mergeCell ref="U39:V39"/>
    <mergeCell ref="W39:X39"/>
    <mergeCell ref="S40:T40"/>
    <mergeCell ref="U40:V40"/>
    <mergeCell ref="W40:X40"/>
    <mergeCell ref="S47:T47"/>
    <mergeCell ref="U47:V47"/>
    <mergeCell ref="W47:X47"/>
    <mergeCell ref="S48:T48"/>
    <mergeCell ref="U48:V48"/>
    <mergeCell ref="W48:X48"/>
    <mergeCell ref="S45:T45"/>
    <mergeCell ref="U45:V45"/>
    <mergeCell ref="W45:X45"/>
    <mergeCell ref="S46:T46"/>
    <mergeCell ref="U46:V46"/>
    <mergeCell ref="W46:X46"/>
    <mergeCell ref="S51:T51"/>
    <mergeCell ref="U51:V51"/>
    <mergeCell ref="W51:X51"/>
    <mergeCell ref="S52:T52"/>
    <mergeCell ref="U52:V52"/>
    <mergeCell ref="W52:X52"/>
    <mergeCell ref="S49:T49"/>
    <mergeCell ref="U49:V49"/>
    <mergeCell ref="W49:X49"/>
    <mergeCell ref="S50:T50"/>
    <mergeCell ref="U50:V50"/>
    <mergeCell ref="W50:X50"/>
    <mergeCell ref="R54:X54"/>
    <mergeCell ref="S55:T55"/>
    <mergeCell ref="U55:V55"/>
    <mergeCell ref="W55:X55"/>
    <mergeCell ref="Q56:Q58"/>
    <mergeCell ref="S56:T56"/>
    <mergeCell ref="U56:V56"/>
    <mergeCell ref="W56:X56"/>
    <mergeCell ref="S57:T57"/>
    <mergeCell ref="U57:V57"/>
    <mergeCell ref="W57:X57"/>
    <mergeCell ref="S58:T58"/>
    <mergeCell ref="U58:V58"/>
    <mergeCell ref="W58:X58"/>
    <mergeCell ref="Q59:Q61"/>
    <mergeCell ref="S59:T59"/>
    <mergeCell ref="U59:V59"/>
    <mergeCell ref="W59:X59"/>
    <mergeCell ref="S60:T60"/>
    <mergeCell ref="U60:V60"/>
    <mergeCell ref="W60:X60"/>
    <mergeCell ref="S61:T61"/>
    <mergeCell ref="U61:V61"/>
    <mergeCell ref="W61:X61"/>
    <mergeCell ref="Q62:Q64"/>
    <mergeCell ref="S62:T62"/>
    <mergeCell ref="U62:V62"/>
    <mergeCell ref="W62:X62"/>
    <mergeCell ref="S63:T63"/>
    <mergeCell ref="U63:V63"/>
    <mergeCell ref="W63:X63"/>
    <mergeCell ref="S64:T64"/>
    <mergeCell ref="U64:V64"/>
    <mergeCell ref="W64:X64"/>
    <mergeCell ref="Q65:Q67"/>
    <mergeCell ref="S65:T65"/>
    <mergeCell ref="U65:V65"/>
    <mergeCell ref="W65:X65"/>
    <mergeCell ref="S66:T66"/>
    <mergeCell ref="U66:V66"/>
    <mergeCell ref="W66:X66"/>
    <mergeCell ref="S67:T67"/>
    <mergeCell ref="U67:V67"/>
    <mergeCell ref="W67:X67"/>
    <mergeCell ref="Q76:Q81"/>
    <mergeCell ref="S69:T69"/>
    <mergeCell ref="U69:V69"/>
    <mergeCell ref="W69:X69"/>
    <mergeCell ref="S70:T70"/>
    <mergeCell ref="U70:V70"/>
    <mergeCell ref="W70:X70"/>
    <mergeCell ref="S71:T71"/>
    <mergeCell ref="U71:V71"/>
    <mergeCell ref="W71:X71"/>
    <mergeCell ref="S72:T72"/>
    <mergeCell ref="U72:V72"/>
    <mergeCell ref="W72:X72"/>
    <mergeCell ref="Q70:Q75"/>
    <mergeCell ref="S75:T75"/>
    <mergeCell ref="U75:V75"/>
    <mergeCell ref="W75:X75"/>
    <mergeCell ref="S79:T79"/>
    <mergeCell ref="U79:V79"/>
    <mergeCell ref="W79:X79"/>
    <mergeCell ref="S73:T73"/>
    <mergeCell ref="U73:V73"/>
    <mergeCell ref="W73:X73"/>
    <mergeCell ref="S74:T74"/>
    <mergeCell ref="Q88:Q93"/>
    <mergeCell ref="S82:T82"/>
    <mergeCell ref="U82:V82"/>
    <mergeCell ref="W82:X82"/>
    <mergeCell ref="S83:T83"/>
    <mergeCell ref="U83:V83"/>
    <mergeCell ref="W83:X83"/>
    <mergeCell ref="S84:T84"/>
    <mergeCell ref="U84:V84"/>
    <mergeCell ref="W84:X84"/>
    <mergeCell ref="Q82:Q87"/>
    <mergeCell ref="S85:T85"/>
    <mergeCell ref="U85:V85"/>
    <mergeCell ref="W85:X85"/>
    <mergeCell ref="S86:T86"/>
    <mergeCell ref="U86:V86"/>
    <mergeCell ref="W86:X86"/>
    <mergeCell ref="S93:T93"/>
    <mergeCell ref="U93:V93"/>
    <mergeCell ref="W93:X93"/>
    <mergeCell ref="U74:V74"/>
    <mergeCell ref="W74:X74"/>
    <mergeCell ref="S76:T76"/>
    <mergeCell ref="U76:V76"/>
    <mergeCell ref="W76:X76"/>
    <mergeCell ref="S77:T77"/>
    <mergeCell ref="U77:V77"/>
    <mergeCell ref="W77:X77"/>
    <mergeCell ref="S78:T78"/>
    <mergeCell ref="U78:V78"/>
    <mergeCell ref="W78:X78"/>
    <mergeCell ref="S80:T80"/>
    <mergeCell ref="U80:V80"/>
    <mergeCell ref="W80:X80"/>
    <mergeCell ref="S81:T81"/>
    <mergeCell ref="U81:V81"/>
    <mergeCell ref="W81:X81"/>
    <mergeCell ref="S92:T92"/>
    <mergeCell ref="U92:V92"/>
    <mergeCell ref="W92:X92"/>
    <mergeCell ref="S87:T87"/>
    <mergeCell ref="U87:V87"/>
    <mergeCell ref="W87:X87"/>
    <mergeCell ref="S91:T91"/>
    <mergeCell ref="U91:V91"/>
    <mergeCell ref="W91:X91"/>
    <mergeCell ref="S88:T88"/>
    <mergeCell ref="U88:V88"/>
    <mergeCell ref="W88:X88"/>
    <mergeCell ref="S89:T89"/>
    <mergeCell ref="U89:V89"/>
    <mergeCell ref="W89:X89"/>
    <mergeCell ref="S90:T90"/>
    <mergeCell ref="U90:V90"/>
    <mergeCell ref="W90:X90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9ABF-E0DC-4F44-A513-0081296CEC7E}">
  <dimension ref="A1:X241"/>
  <sheetViews>
    <sheetView showGridLines="0" topLeftCell="A38" zoomScale="95" zoomScaleNormal="95" workbookViewId="0"/>
  </sheetViews>
  <sheetFormatPr defaultRowHeight="15" x14ac:dyDescent="0.25"/>
  <cols>
    <col min="2" max="2" width="4.140625" bestFit="1" customWidth="1"/>
    <col min="3" max="3" width="20.7109375" customWidth="1"/>
    <col min="4" max="4" width="11.28515625" bestFit="1" customWidth="1"/>
    <col min="5" max="5" width="11" style="2" customWidth="1"/>
    <col min="6" max="6" width="18.140625" bestFit="1" customWidth="1"/>
    <col min="7" max="7" width="14.42578125" style="3" bestFit="1" customWidth="1"/>
    <col min="8" max="8" width="16.7109375" bestFit="1" customWidth="1"/>
    <col min="9" max="9" width="14.7109375" bestFit="1" customWidth="1"/>
    <col min="10" max="10" width="15.7109375" bestFit="1" customWidth="1"/>
    <col min="11" max="11" width="12.7109375" style="3" bestFit="1" customWidth="1"/>
    <col min="12" max="12" width="15.140625" bestFit="1" customWidth="1"/>
    <col min="13" max="13" width="13.140625" bestFit="1" customWidth="1"/>
    <col min="14" max="14" width="14.140625" bestFit="1" customWidth="1"/>
    <col min="15" max="15" width="14.140625" customWidth="1"/>
    <col min="18" max="18" width="15.85546875" bestFit="1" customWidth="1"/>
  </cols>
  <sheetData>
    <row r="1" spans="1:24" x14ac:dyDescent="0.25">
      <c r="C1" t="s">
        <v>8</v>
      </c>
      <c r="D1" t="s">
        <v>9</v>
      </c>
      <c r="E1" s="2" t="s">
        <v>1487</v>
      </c>
      <c r="F1" t="s">
        <v>1509</v>
      </c>
      <c r="G1" s="3" t="s">
        <v>1452</v>
      </c>
      <c r="H1" t="s">
        <v>1454</v>
      </c>
      <c r="I1" t="s">
        <v>1456</v>
      </c>
      <c r="J1" t="s">
        <v>1457</v>
      </c>
      <c r="K1" s="3" t="s">
        <v>1512</v>
      </c>
      <c r="L1" t="s">
        <v>1455</v>
      </c>
      <c r="M1" t="s">
        <v>1458</v>
      </c>
      <c r="N1" t="s">
        <v>1459</v>
      </c>
      <c r="O1" t="s">
        <v>1510</v>
      </c>
    </row>
    <row r="2" spans="1:24" x14ac:dyDescent="0.25">
      <c r="A2" s="39" t="s">
        <v>0</v>
      </c>
      <c r="B2" s="40" t="s">
        <v>4</v>
      </c>
      <c r="C2" s="7" t="s">
        <v>732</v>
      </c>
      <c r="D2" s="7" t="s">
        <v>812</v>
      </c>
      <c r="E2" s="8">
        <f>IF(D2="Muito Fraca", 0, IF(D2="Fraca", 1, IF(D2="Razoável", 2, IF(D2="Média", 3, 4))))</f>
        <v>2</v>
      </c>
      <c r="F2" s="7">
        <v>37.6</v>
      </c>
      <c r="G2" s="8">
        <v>4</v>
      </c>
      <c r="H2" s="7">
        <v>11.32</v>
      </c>
      <c r="I2" s="7">
        <v>2.82</v>
      </c>
      <c r="J2" s="7">
        <v>-0.18</v>
      </c>
      <c r="K2" s="8">
        <v>2</v>
      </c>
      <c r="L2" s="9">
        <v>8</v>
      </c>
      <c r="M2" s="7">
        <v>-0.5</v>
      </c>
      <c r="N2" s="7">
        <v>-3.5</v>
      </c>
      <c r="O2" s="18">
        <f>E2/K2</f>
        <v>1</v>
      </c>
    </row>
    <row r="3" spans="1:24" x14ac:dyDescent="0.25">
      <c r="A3" s="39"/>
      <c r="B3" s="41"/>
      <c r="C3" t="s">
        <v>733</v>
      </c>
      <c r="D3" t="s">
        <v>812</v>
      </c>
      <c r="E3" s="3">
        <f t="shared" ref="E3:E66" si="0">IF(D3="Muito Fraca", 0, IF(D3="Fraca", 1, IF(D3="Razoável", 2, IF(D3="Média", 3, 4))))</f>
        <v>2</v>
      </c>
      <c r="F3">
        <v>37.6</v>
      </c>
      <c r="G3" s="3">
        <v>4</v>
      </c>
      <c r="H3">
        <v>11.32</v>
      </c>
      <c r="I3">
        <v>2.82</v>
      </c>
      <c r="J3">
        <v>-0.18</v>
      </c>
      <c r="K3" s="3">
        <v>2</v>
      </c>
      <c r="L3" s="2">
        <v>8</v>
      </c>
      <c r="M3">
        <v>-0.5</v>
      </c>
      <c r="N3">
        <v>-3.5</v>
      </c>
      <c r="O3" s="19">
        <f t="shared" ref="O3:O66" si="1">E3/K3</f>
        <v>1</v>
      </c>
    </row>
    <row r="4" spans="1:24" x14ac:dyDescent="0.25">
      <c r="A4" s="39"/>
      <c r="B4" s="41"/>
      <c r="C4" t="s">
        <v>734</v>
      </c>
      <c r="D4" t="s">
        <v>812</v>
      </c>
      <c r="E4" s="3">
        <f t="shared" si="0"/>
        <v>2</v>
      </c>
      <c r="F4">
        <v>37.6</v>
      </c>
      <c r="G4" s="3">
        <v>4</v>
      </c>
      <c r="H4">
        <v>11.32</v>
      </c>
      <c r="I4">
        <v>2.82</v>
      </c>
      <c r="J4">
        <v>-0.18</v>
      </c>
      <c r="K4" s="3">
        <v>2</v>
      </c>
      <c r="L4" s="2">
        <v>8</v>
      </c>
      <c r="M4">
        <v>-0.5</v>
      </c>
      <c r="N4">
        <v>-3.5</v>
      </c>
      <c r="O4" s="19">
        <f t="shared" si="1"/>
        <v>1</v>
      </c>
    </row>
    <row r="5" spans="1:24" x14ac:dyDescent="0.25">
      <c r="A5" s="39"/>
      <c r="B5" s="41"/>
      <c r="C5" t="s">
        <v>735</v>
      </c>
      <c r="D5" t="s">
        <v>812</v>
      </c>
      <c r="E5" s="3">
        <f t="shared" si="0"/>
        <v>2</v>
      </c>
      <c r="F5">
        <v>37.6</v>
      </c>
      <c r="G5" s="3">
        <v>4</v>
      </c>
      <c r="H5">
        <v>11.32</v>
      </c>
      <c r="I5">
        <v>2.82</v>
      </c>
      <c r="J5">
        <v>-0.18</v>
      </c>
      <c r="K5" s="3">
        <v>2</v>
      </c>
      <c r="L5" s="2">
        <v>8</v>
      </c>
      <c r="M5">
        <v>-0.5</v>
      </c>
      <c r="N5">
        <v>-3.5</v>
      </c>
      <c r="O5" s="19">
        <f t="shared" si="1"/>
        <v>1</v>
      </c>
    </row>
    <row r="6" spans="1:24" x14ac:dyDescent="0.25">
      <c r="A6" s="39"/>
      <c r="B6" s="41"/>
      <c r="C6" t="s">
        <v>736</v>
      </c>
      <c r="D6" t="s">
        <v>812</v>
      </c>
      <c r="E6" s="3">
        <f t="shared" si="0"/>
        <v>2</v>
      </c>
      <c r="F6">
        <v>37.6</v>
      </c>
      <c r="G6" s="3">
        <v>4</v>
      </c>
      <c r="H6">
        <v>11.32</v>
      </c>
      <c r="I6">
        <v>2.82</v>
      </c>
      <c r="J6">
        <v>-0.18</v>
      </c>
      <c r="K6" s="3">
        <v>2</v>
      </c>
      <c r="L6" s="2">
        <v>8</v>
      </c>
      <c r="M6">
        <v>-0.5</v>
      </c>
      <c r="N6">
        <v>-3.5</v>
      </c>
      <c r="O6" s="19">
        <f t="shared" si="1"/>
        <v>1</v>
      </c>
      <c r="R6" s="37" t="s">
        <v>0</v>
      </c>
      <c r="S6" s="38"/>
      <c r="T6" s="38"/>
      <c r="U6" s="38"/>
      <c r="V6" s="38"/>
      <c r="W6" s="38"/>
      <c r="X6" s="26"/>
    </row>
    <row r="7" spans="1:24" x14ac:dyDescent="0.25">
      <c r="A7" s="39"/>
      <c r="B7" s="41"/>
      <c r="C7" t="s">
        <v>737</v>
      </c>
      <c r="D7" t="s">
        <v>812</v>
      </c>
      <c r="E7" s="3">
        <f t="shared" si="0"/>
        <v>2</v>
      </c>
      <c r="F7">
        <v>37.6</v>
      </c>
      <c r="G7" s="3">
        <v>4</v>
      </c>
      <c r="H7">
        <v>11.32</v>
      </c>
      <c r="I7">
        <v>2.82</v>
      </c>
      <c r="J7">
        <v>-0.18</v>
      </c>
      <c r="K7" s="3">
        <v>2</v>
      </c>
      <c r="L7" s="2">
        <v>8</v>
      </c>
      <c r="M7">
        <v>-0.5</v>
      </c>
      <c r="N7">
        <v>-3.5</v>
      </c>
      <c r="O7" s="19">
        <f t="shared" si="1"/>
        <v>1</v>
      </c>
      <c r="R7" s="1"/>
      <c r="S7" s="30" t="s">
        <v>1460</v>
      </c>
      <c r="T7" s="30"/>
      <c r="U7" s="30" t="s">
        <v>1461</v>
      </c>
      <c r="V7" s="30"/>
      <c r="W7" s="30" t="s">
        <v>1462</v>
      </c>
      <c r="X7" s="30"/>
    </row>
    <row r="8" spans="1:24" x14ac:dyDescent="0.25">
      <c r="A8" s="39"/>
      <c r="B8" s="41"/>
      <c r="C8" t="s">
        <v>738</v>
      </c>
      <c r="D8" t="s">
        <v>812</v>
      </c>
      <c r="E8" s="3">
        <f t="shared" si="0"/>
        <v>2</v>
      </c>
      <c r="F8">
        <v>37.6</v>
      </c>
      <c r="G8" s="3">
        <v>4</v>
      </c>
      <c r="H8">
        <v>11.32</v>
      </c>
      <c r="I8">
        <v>2.82</v>
      </c>
      <c r="J8">
        <v>-0.18</v>
      </c>
      <c r="K8" s="3">
        <v>2</v>
      </c>
      <c r="L8" s="2">
        <v>8</v>
      </c>
      <c r="M8">
        <v>-0.5</v>
      </c>
      <c r="N8">
        <v>-3.5</v>
      </c>
      <c r="O8" s="19">
        <f t="shared" si="1"/>
        <v>1</v>
      </c>
      <c r="R8" s="1" t="s">
        <v>1488</v>
      </c>
      <c r="S8" s="35">
        <f>AVERAGE(E$2:E$21)</f>
        <v>2</v>
      </c>
      <c r="T8" s="36"/>
      <c r="U8" s="35">
        <f>AVERAGE(E$22:E$41)</f>
        <v>4</v>
      </c>
      <c r="V8" s="26"/>
      <c r="W8" s="35">
        <f>AVERAGE(E$42:E$61)</f>
        <v>4</v>
      </c>
      <c r="X8" s="26"/>
    </row>
    <row r="9" spans="1:24" x14ac:dyDescent="0.25">
      <c r="A9" s="39"/>
      <c r="B9" s="41"/>
      <c r="C9" t="s">
        <v>739</v>
      </c>
      <c r="D9" t="s">
        <v>812</v>
      </c>
      <c r="E9" s="3">
        <f t="shared" si="0"/>
        <v>2</v>
      </c>
      <c r="F9">
        <v>37.6</v>
      </c>
      <c r="G9" s="3">
        <v>4</v>
      </c>
      <c r="H9">
        <v>11.32</v>
      </c>
      <c r="I9">
        <v>2.82</v>
      </c>
      <c r="J9">
        <v>-0.18</v>
      </c>
      <c r="K9" s="3">
        <v>2</v>
      </c>
      <c r="L9" s="2">
        <v>8</v>
      </c>
      <c r="M9">
        <v>-0.5</v>
      </c>
      <c r="N9">
        <v>-3.5</v>
      </c>
      <c r="O9" s="19">
        <f t="shared" si="1"/>
        <v>1</v>
      </c>
      <c r="R9" s="1" t="s">
        <v>1463</v>
      </c>
      <c r="S9" s="35">
        <f>AVERAGE(G$2:G$21)</f>
        <v>4</v>
      </c>
      <c r="T9" s="26"/>
      <c r="U9" s="35">
        <f>AVERAGE(G$22:G$41)</f>
        <v>4</v>
      </c>
      <c r="V9" s="26"/>
      <c r="W9" s="35">
        <f>AVERAGE(G$42:G$61)</f>
        <v>4</v>
      </c>
      <c r="X9" s="26"/>
    </row>
    <row r="10" spans="1:24" x14ac:dyDescent="0.25">
      <c r="A10" s="39"/>
      <c r="B10" s="41"/>
      <c r="C10" t="s">
        <v>740</v>
      </c>
      <c r="D10" t="s">
        <v>812</v>
      </c>
      <c r="E10" s="3">
        <f t="shared" si="0"/>
        <v>2</v>
      </c>
      <c r="F10">
        <v>37.6</v>
      </c>
      <c r="G10" s="3">
        <v>4</v>
      </c>
      <c r="H10">
        <v>11.32</v>
      </c>
      <c r="I10">
        <v>2.82</v>
      </c>
      <c r="J10">
        <v>-0.18</v>
      </c>
      <c r="K10" s="3">
        <v>2</v>
      </c>
      <c r="L10" s="2">
        <v>8</v>
      </c>
      <c r="M10">
        <v>-0.5</v>
      </c>
      <c r="N10">
        <v>-3.5</v>
      </c>
      <c r="O10" s="19">
        <f t="shared" si="1"/>
        <v>1</v>
      </c>
      <c r="R10" s="1" t="s">
        <v>1464</v>
      </c>
      <c r="S10" s="24">
        <f>AVERAGE(H$2:H$21)</f>
        <v>11.319999999999997</v>
      </c>
      <c r="T10" s="26"/>
      <c r="U10" s="24">
        <f>AVERAGE(H$22:H$41)</f>
        <v>16.98</v>
      </c>
      <c r="V10" s="25"/>
      <c r="W10" s="24">
        <f>AVERAGE(H$42:H$61)</f>
        <v>22.639999999999993</v>
      </c>
      <c r="X10" s="25"/>
    </row>
    <row r="11" spans="1:24" x14ac:dyDescent="0.25">
      <c r="A11" s="39"/>
      <c r="B11" s="41"/>
      <c r="C11" t="s">
        <v>741</v>
      </c>
      <c r="D11" t="s">
        <v>812</v>
      </c>
      <c r="E11" s="3">
        <f t="shared" si="0"/>
        <v>2</v>
      </c>
      <c r="F11">
        <v>37.6</v>
      </c>
      <c r="G11" s="3">
        <v>4</v>
      </c>
      <c r="H11">
        <v>11.32</v>
      </c>
      <c r="I11">
        <v>2.82</v>
      </c>
      <c r="J11">
        <v>-0.18</v>
      </c>
      <c r="K11" s="3">
        <v>2</v>
      </c>
      <c r="L11" s="2">
        <v>8</v>
      </c>
      <c r="M11">
        <v>-0.5</v>
      </c>
      <c r="N11">
        <v>-3.5</v>
      </c>
      <c r="O11" s="19">
        <f t="shared" si="1"/>
        <v>1</v>
      </c>
      <c r="R11" s="1" t="s">
        <v>1465</v>
      </c>
      <c r="S11" s="24">
        <f>AVERAGE(I$2:I$21)</f>
        <v>2.82</v>
      </c>
      <c r="T11" s="26"/>
      <c r="U11" s="24">
        <f>AVERAGE(I$22:I$41)</f>
        <v>8.48</v>
      </c>
      <c r="V11" s="25"/>
      <c r="W11" s="24">
        <f>AVERAGE(I$42:I$61)</f>
        <v>14.139999999999995</v>
      </c>
      <c r="X11" s="25"/>
    </row>
    <row r="12" spans="1:24" x14ac:dyDescent="0.25">
      <c r="A12" s="39"/>
      <c r="B12" s="41"/>
      <c r="C12" t="s">
        <v>742</v>
      </c>
      <c r="D12" t="s">
        <v>812</v>
      </c>
      <c r="E12" s="3">
        <f t="shared" si="0"/>
        <v>2</v>
      </c>
      <c r="F12">
        <v>37.6</v>
      </c>
      <c r="G12" s="3">
        <v>4</v>
      </c>
      <c r="H12">
        <v>11.32</v>
      </c>
      <c r="I12">
        <v>2.82</v>
      </c>
      <c r="J12">
        <v>-0.18</v>
      </c>
      <c r="K12" s="3">
        <v>2</v>
      </c>
      <c r="L12" s="2">
        <v>8</v>
      </c>
      <c r="M12">
        <v>-0.5</v>
      </c>
      <c r="N12">
        <v>-3.5</v>
      </c>
      <c r="O12" s="19">
        <f t="shared" si="1"/>
        <v>1</v>
      </c>
      <c r="R12" s="1" t="s">
        <v>1466</v>
      </c>
      <c r="S12" s="24">
        <f>AVERAGE(J$2:J$21)</f>
        <v>-0.18000000000000005</v>
      </c>
      <c r="T12" s="26"/>
      <c r="U12" s="24">
        <f>AVERAGE(J$22:J$41)</f>
        <v>5.4800000000000022</v>
      </c>
      <c r="V12" s="25"/>
      <c r="W12" s="24">
        <f>AVERAGE(J$42:J$61)</f>
        <v>11.139999999999995</v>
      </c>
      <c r="X12" s="25"/>
    </row>
    <row r="13" spans="1:24" x14ac:dyDescent="0.25">
      <c r="A13" s="39"/>
      <c r="B13" s="41"/>
      <c r="C13" t="s">
        <v>743</v>
      </c>
      <c r="D13" t="s">
        <v>812</v>
      </c>
      <c r="E13" s="3">
        <f t="shared" si="0"/>
        <v>2</v>
      </c>
      <c r="F13">
        <v>37.6</v>
      </c>
      <c r="G13" s="3">
        <v>4</v>
      </c>
      <c r="H13">
        <v>11.32</v>
      </c>
      <c r="I13">
        <v>2.82</v>
      </c>
      <c r="J13">
        <v>-0.18</v>
      </c>
      <c r="K13" s="3">
        <v>2</v>
      </c>
      <c r="L13" s="2">
        <v>8</v>
      </c>
      <c r="M13">
        <v>-0.5</v>
      </c>
      <c r="N13">
        <v>-3.5</v>
      </c>
      <c r="O13" s="19">
        <f t="shared" si="1"/>
        <v>1</v>
      </c>
      <c r="R13" s="1" t="s">
        <v>1512</v>
      </c>
      <c r="S13" s="35">
        <f>AVERAGE(K$2:K$21)</f>
        <v>2</v>
      </c>
      <c r="T13" s="26"/>
      <c r="U13" s="35">
        <f>AVERAGE(K$22:K$41)</f>
        <v>4</v>
      </c>
      <c r="V13" s="26"/>
      <c r="W13" s="35">
        <f>AVERAGE(K$42:K$61)</f>
        <v>4</v>
      </c>
      <c r="X13" s="26"/>
    </row>
    <row r="14" spans="1:24" x14ac:dyDescent="0.25">
      <c r="A14" s="39"/>
      <c r="B14" s="41"/>
      <c r="C14" t="s">
        <v>744</v>
      </c>
      <c r="D14" t="s">
        <v>812</v>
      </c>
      <c r="E14" s="3">
        <f t="shared" si="0"/>
        <v>2</v>
      </c>
      <c r="F14">
        <v>37.6</v>
      </c>
      <c r="G14" s="3">
        <v>4</v>
      </c>
      <c r="H14">
        <v>11.32</v>
      </c>
      <c r="I14">
        <v>2.82</v>
      </c>
      <c r="J14">
        <v>-0.18</v>
      </c>
      <c r="K14" s="3">
        <v>2</v>
      </c>
      <c r="L14" s="2">
        <v>8</v>
      </c>
      <c r="M14">
        <v>-0.5</v>
      </c>
      <c r="N14">
        <v>-3.5</v>
      </c>
      <c r="O14" s="19">
        <f t="shared" si="1"/>
        <v>1</v>
      </c>
      <c r="R14" s="1" t="s">
        <v>1493</v>
      </c>
      <c r="S14" s="24">
        <f>AVERAGE(L$2:L$21)</f>
        <v>8</v>
      </c>
      <c r="T14" s="25"/>
      <c r="U14" s="24">
        <f>AVERAGE(L$22:L$41)</f>
        <v>11.830500000000001</v>
      </c>
      <c r="V14" s="25"/>
      <c r="W14" s="24">
        <f>AVERAGE(L$42:L$61)</f>
        <v>15.889999999999997</v>
      </c>
      <c r="X14" s="25"/>
    </row>
    <row r="15" spans="1:24" x14ac:dyDescent="0.25">
      <c r="A15" s="39"/>
      <c r="B15" s="41"/>
      <c r="C15" t="s">
        <v>745</v>
      </c>
      <c r="D15" t="s">
        <v>812</v>
      </c>
      <c r="E15" s="3">
        <f t="shared" si="0"/>
        <v>2</v>
      </c>
      <c r="F15">
        <v>37.6</v>
      </c>
      <c r="G15" s="3">
        <v>4</v>
      </c>
      <c r="H15">
        <v>11.32</v>
      </c>
      <c r="I15">
        <v>2.82</v>
      </c>
      <c r="J15">
        <v>-0.18</v>
      </c>
      <c r="K15" s="3">
        <v>2</v>
      </c>
      <c r="L15" s="2">
        <v>8</v>
      </c>
      <c r="M15">
        <v>-0.5</v>
      </c>
      <c r="N15">
        <v>-3.5</v>
      </c>
      <c r="O15" s="19">
        <f t="shared" si="1"/>
        <v>1</v>
      </c>
      <c r="R15" s="1" t="s">
        <v>1467</v>
      </c>
      <c r="S15" s="24">
        <f>AVERAGE(M$2:M$21)</f>
        <v>-0.5</v>
      </c>
      <c r="T15" s="25"/>
      <c r="U15" s="24">
        <f>AVERAGE(M$22:M$41)</f>
        <v>3.3304999999999998</v>
      </c>
      <c r="V15" s="25"/>
      <c r="W15" s="24">
        <f>AVERAGE(M$42:M$61)</f>
        <v>7.3900000000000006</v>
      </c>
      <c r="X15" s="25"/>
    </row>
    <row r="16" spans="1:24" x14ac:dyDescent="0.25">
      <c r="A16" s="39"/>
      <c r="B16" s="41"/>
      <c r="C16" t="s">
        <v>746</v>
      </c>
      <c r="D16" t="s">
        <v>812</v>
      </c>
      <c r="E16" s="3">
        <f t="shared" si="0"/>
        <v>2</v>
      </c>
      <c r="F16">
        <v>37.6</v>
      </c>
      <c r="G16" s="3">
        <v>4</v>
      </c>
      <c r="H16">
        <v>11.32</v>
      </c>
      <c r="I16">
        <v>2.82</v>
      </c>
      <c r="J16">
        <v>-0.18</v>
      </c>
      <c r="K16" s="3">
        <v>2</v>
      </c>
      <c r="L16" s="2">
        <v>8</v>
      </c>
      <c r="M16">
        <v>-0.5</v>
      </c>
      <c r="N16">
        <v>-3.5</v>
      </c>
      <c r="O16" s="19">
        <f t="shared" si="1"/>
        <v>1</v>
      </c>
      <c r="R16" s="1" t="s">
        <v>1468</v>
      </c>
      <c r="S16" s="24">
        <f>AVERAGE(N$2:N$21)</f>
        <v>-3.5</v>
      </c>
      <c r="T16" s="25"/>
      <c r="U16" s="24">
        <f>AVERAGE(N$22:N$41)</f>
        <v>0.33050000000000002</v>
      </c>
      <c r="V16" s="25"/>
      <c r="W16" s="24">
        <f>AVERAGE(N$42:N$61)</f>
        <v>4.3899999999999997</v>
      </c>
      <c r="X16" s="25"/>
    </row>
    <row r="17" spans="1:24" x14ac:dyDescent="0.25">
      <c r="A17" s="39"/>
      <c r="B17" s="41"/>
      <c r="C17" t="s">
        <v>747</v>
      </c>
      <c r="D17" t="s">
        <v>812</v>
      </c>
      <c r="E17" s="3">
        <f t="shared" si="0"/>
        <v>2</v>
      </c>
      <c r="F17">
        <v>37.6</v>
      </c>
      <c r="G17" s="3">
        <v>4</v>
      </c>
      <c r="H17">
        <v>11.32</v>
      </c>
      <c r="I17">
        <v>2.82</v>
      </c>
      <c r="J17">
        <v>-0.18</v>
      </c>
      <c r="K17" s="3">
        <v>2</v>
      </c>
      <c r="L17" s="2">
        <v>8</v>
      </c>
      <c r="M17">
        <v>-0.5</v>
      </c>
      <c r="N17">
        <v>-3.5</v>
      </c>
      <c r="O17" s="19">
        <f t="shared" si="1"/>
        <v>1</v>
      </c>
    </row>
    <row r="18" spans="1:24" x14ac:dyDescent="0.25">
      <c r="A18" s="39"/>
      <c r="B18" s="41"/>
      <c r="C18" t="s">
        <v>748</v>
      </c>
      <c r="D18" t="s">
        <v>812</v>
      </c>
      <c r="E18" s="3">
        <f t="shared" si="0"/>
        <v>2</v>
      </c>
      <c r="F18">
        <v>37.6</v>
      </c>
      <c r="G18" s="3">
        <v>4</v>
      </c>
      <c r="H18">
        <v>11.32</v>
      </c>
      <c r="I18">
        <v>2.82</v>
      </c>
      <c r="J18">
        <v>-0.18</v>
      </c>
      <c r="K18" s="3">
        <v>2</v>
      </c>
      <c r="L18" s="2">
        <v>8</v>
      </c>
      <c r="M18">
        <v>-0.5</v>
      </c>
      <c r="N18">
        <v>-3.5</v>
      </c>
      <c r="O18" s="19">
        <f t="shared" si="1"/>
        <v>1</v>
      </c>
      <c r="R18" s="37" t="s">
        <v>1</v>
      </c>
      <c r="S18" s="38"/>
      <c r="T18" s="38"/>
      <c r="U18" s="38"/>
      <c r="V18" s="38"/>
      <c r="W18" s="38"/>
      <c r="X18" s="26"/>
    </row>
    <row r="19" spans="1:24" x14ac:dyDescent="0.25">
      <c r="A19" s="39"/>
      <c r="B19" s="41"/>
      <c r="C19" t="s">
        <v>749</v>
      </c>
      <c r="D19" t="s">
        <v>812</v>
      </c>
      <c r="E19" s="3">
        <f t="shared" si="0"/>
        <v>2</v>
      </c>
      <c r="F19">
        <v>37.6</v>
      </c>
      <c r="G19" s="3">
        <v>4</v>
      </c>
      <c r="H19">
        <v>11.32</v>
      </c>
      <c r="I19">
        <v>2.82</v>
      </c>
      <c r="J19">
        <v>-0.18</v>
      </c>
      <c r="K19" s="3">
        <v>2</v>
      </c>
      <c r="L19" s="2">
        <v>8</v>
      </c>
      <c r="M19">
        <v>-0.5</v>
      </c>
      <c r="N19">
        <v>-3.5</v>
      </c>
      <c r="O19" s="19">
        <f t="shared" si="1"/>
        <v>1</v>
      </c>
      <c r="R19" s="1"/>
      <c r="S19" s="37" t="s">
        <v>1460</v>
      </c>
      <c r="T19" s="26"/>
      <c r="U19" s="37" t="s">
        <v>1461</v>
      </c>
      <c r="V19" s="26"/>
      <c r="W19" s="37" t="s">
        <v>1462</v>
      </c>
      <c r="X19" s="26"/>
    </row>
    <row r="20" spans="1:24" x14ac:dyDescent="0.25">
      <c r="A20" s="39"/>
      <c r="B20" s="41"/>
      <c r="C20" t="s">
        <v>750</v>
      </c>
      <c r="D20" t="s">
        <v>812</v>
      </c>
      <c r="E20" s="3">
        <f t="shared" si="0"/>
        <v>2</v>
      </c>
      <c r="F20">
        <v>37.6</v>
      </c>
      <c r="G20" s="3">
        <v>4</v>
      </c>
      <c r="H20">
        <v>11.32</v>
      </c>
      <c r="I20">
        <v>2.82</v>
      </c>
      <c r="J20">
        <v>-0.18</v>
      </c>
      <c r="K20" s="3">
        <v>2</v>
      </c>
      <c r="L20" s="2">
        <v>8</v>
      </c>
      <c r="M20">
        <v>-0.5</v>
      </c>
      <c r="N20">
        <v>-3.5</v>
      </c>
      <c r="O20" s="19">
        <f t="shared" si="1"/>
        <v>1</v>
      </c>
      <c r="R20" s="1" t="s">
        <v>1488</v>
      </c>
      <c r="S20" s="35">
        <f>AVERAGE(E$62:E$81)</f>
        <v>2</v>
      </c>
      <c r="T20" s="36"/>
      <c r="U20" s="35">
        <f>AVERAGE(E$82:E$101)</f>
        <v>4</v>
      </c>
      <c r="V20" s="26"/>
      <c r="W20" s="35">
        <f>AVERAGE(E$102:E$121)</f>
        <v>4</v>
      </c>
      <c r="X20" s="26"/>
    </row>
    <row r="21" spans="1:24" x14ac:dyDescent="0.25">
      <c r="A21" s="39"/>
      <c r="B21" s="42"/>
      <c r="C21" s="10" t="s">
        <v>751</v>
      </c>
      <c r="D21" s="10" t="s">
        <v>812</v>
      </c>
      <c r="E21" s="11">
        <f t="shared" si="0"/>
        <v>2</v>
      </c>
      <c r="F21" s="10">
        <v>37.6</v>
      </c>
      <c r="G21" s="11">
        <v>4</v>
      </c>
      <c r="H21" s="10">
        <v>11.32</v>
      </c>
      <c r="I21" s="10">
        <v>2.82</v>
      </c>
      <c r="J21" s="10">
        <v>-0.18</v>
      </c>
      <c r="K21" s="11">
        <v>2</v>
      </c>
      <c r="L21" s="12">
        <v>8</v>
      </c>
      <c r="M21" s="10">
        <v>-0.5</v>
      </c>
      <c r="N21" s="10">
        <v>-3.5</v>
      </c>
      <c r="O21" s="20">
        <f t="shared" si="1"/>
        <v>1</v>
      </c>
      <c r="R21" s="1" t="s">
        <v>1463</v>
      </c>
      <c r="S21" s="35">
        <f>AVERAGE(G$62:G$81)</f>
        <v>4</v>
      </c>
      <c r="T21" s="36"/>
      <c r="U21" s="35">
        <f>AVERAGE(G$82:G$101)</f>
        <v>4</v>
      </c>
      <c r="V21" s="36"/>
      <c r="W21" s="35">
        <f>AVERAGE(G$102:G$121)</f>
        <v>4</v>
      </c>
      <c r="X21" s="36"/>
    </row>
    <row r="22" spans="1:24" x14ac:dyDescent="0.25">
      <c r="A22" s="39"/>
      <c r="B22" s="40" t="s">
        <v>6</v>
      </c>
      <c r="C22" s="7" t="s">
        <v>752</v>
      </c>
      <c r="D22" s="7" t="s">
        <v>1492</v>
      </c>
      <c r="E22" s="8">
        <f t="shared" si="0"/>
        <v>4</v>
      </c>
      <c r="F22" s="7">
        <v>56.41</v>
      </c>
      <c r="G22" s="8">
        <v>4</v>
      </c>
      <c r="H22" s="7">
        <v>16.98</v>
      </c>
      <c r="I22" s="7">
        <v>8.48</v>
      </c>
      <c r="J22" s="7">
        <v>5.48</v>
      </c>
      <c r="K22" s="8">
        <v>4</v>
      </c>
      <c r="L22" s="9">
        <v>12</v>
      </c>
      <c r="M22" s="7">
        <v>3.5</v>
      </c>
      <c r="N22" s="7">
        <v>0.5</v>
      </c>
      <c r="O22" s="18">
        <f t="shared" si="1"/>
        <v>1</v>
      </c>
      <c r="R22" s="1" t="s">
        <v>1464</v>
      </c>
      <c r="S22" s="24">
        <f>AVERAGE(H$62:H$81)</f>
        <v>13.729999999999999</v>
      </c>
      <c r="T22" s="25"/>
      <c r="U22" s="24">
        <f>AVERAGE(H$82:H$101)</f>
        <v>20.589999999999993</v>
      </c>
      <c r="V22" s="25"/>
      <c r="W22" s="35">
        <f>AVERAGE(H$102:H$121)</f>
        <v>27.459999999999997</v>
      </c>
      <c r="X22" s="36"/>
    </row>
    <row r="23" spans="1:24" x14ac:dyDescent="0.25">
      <c r="A23" s="39"/>
      <c r="B23" s="41"/>
      <c r="C23" t="s">
        <v>753</v>
      </c>
      <c r="D23" t="s">
        <v>1492</v>
      </c>
      <c r="E23" s="3">
        <f t="shared" si="0"/>
        <v>4</v>
      </c>
      <c r="F23">
        <v>56.41</v>
      </c>
      <c r="G23" s="3">
        <v>4</v>
      </c>
      <c r="H23">
        <v>16.98</v>
      </c>
      <c r="I23">
        <v>8.48</v>
      </c>
      <c r="J23">
        <v>5.48</v>
      </c>
      <c r="K23" s="3">
        <v>4</v>
      </c>
      <c r="L23" s="2">
        <v>11.1</v>
      </c>
      <c r="M23">
        <v>2.6</v>
      </c>
      <c r="N23">
        <v>-0.4</v>
      </c>
      <c r="O23" s="19">
        <f t="shared" si="1"/>
        <v>1</v>
      </c>
      <c r="R23" s="1" t="s">
        <v>1465</v>
      </c>
      <c r="S23" s="24">
        <f>AVERAGE(I$62:I$81)</f>
        <v>5.2300000000000022</v>
      </c>
      <c r="T23" s="25"/>
      <c r="U23" s="24">
        <f>AVERAGE(I$82:I$101)</f>
        <v>12.090000000000002</v>
      </c>
      <c r="V23" s="25"/>
      <c r="W23" s="35">
        <f>AVERAGE(I$102:I$121)</f>
        <v>18.959999999999997</v>
      </c>
      <c r="X23" s="36"/>
    </row>
    <row r="24" spans="1:24" x14ac:dyDescent="0.25">
      <c r="A24" s="39"/>
      <c r="B24" s="41"/>
      <c r="C24" t="s">
        <v>754</v>
      </c>
      <c r="D24" t="s">
        <v>1492</v>
      </c>
      <c r="E24" s="3">
        <f t="shared" si="0"/>
        <v>4</v>
      </c>
      <c r="F24">
        <v>56.41</v>
      </c>
      <c r="G24" s="3">
        <v>4</v>
      </c>
      <c r="H24">
        <v>16.98</v>
      </c>
      <c r="I24">
        <v>8.48</v>
      </c>
      <c r="J24">
        <v>5.48</v>
      </c>
      <c r="K24" s="3">
        <v>4</v>
      </c>
      <c r="L24" s="2">
        <v>11.52</v>
      </c>
      <c r="M24">
        <v>3.02</v>
      </c>
      <c r="N24">
        <v>0.02</v>
      </c>
      <c r="O24" s="19">
        <f t="shared" si="1"/>
        <v>1</v>
      </c>
      <c r="R24" s="1" t="s">
        <v>1466</v>
      </c>
      <c r="S24" s="24">
        <f>AVERAGE(J$62:J$81)</f>
        <v>2.2299999999999995</v>
      </c>
      <c r="T24" s="25"/>
      <c r="U24" s="24">
        <f>AVERAGE(J$82:J$101)</f>
        <v>9.0900000000000016</v>
      </c>
      <c r="V24" s="25"/>
      <c r="W24" s="35">
        <f>AVERAGE(J$102:J$121)</f>
        <v>15.960000000000003</v>
      </c>
      <c r="X24" s="36"/>
    </row>
    <row r="25" spans="1:24" x14ac:dyDescent="0.25">
      <c r="A25" s="39"/>
      <c r="B25" s="41"/>
      <c r="C25" t="s">
        <v>755</v>
      </c>
      <c r="D25" t="s">
        <v>1492</v>
      </c>
      <c r="E25" s="3">
        <f t="shared" si="0"/>
        <v>4</v>
      </c>
      <c r="F25">
        <v>56.41</v>
      </c>
      <c r="G25" s="3">
        <v>4</v>
      </c>
      <c r="H25">
        <v>16.98</v>
      </c>
      <c r="I25">
        <v>8.48</v>
      </c>
      <c r="J25">
        <v>5.48</v>
      </c>
      <c r="K25" s="3">
        <v>4</v>
      </c>
      <c r="L25" s="2">
        <v>11.69</v>
      </c>
      <c r="M25">
        <v>3.19</v>
      </c>
      <c r="N25">
        <v>0.19</v>
      </c>
      <c r="O25" s="19">
        <f t="shared" si="1"/>
        <v>1</v>
      </c>
      <c r="R25" s="1" t="s">
        <v>1512</v>
      </c>
      <c r="S25" s="35">
        <f>AVERAGE(K$62:K$81)</f>
        <v>2</v>
      </c>
      <c r="T25" s="36"/>
      <c r="U25" s="35">
        <f>AVERAGE(K$82:K$101)</f>
        <v>4</v>
      </c>
      <c r="V25" s="36"/>
      <c r="W25" s="35">
        <f>AVERAGE(K$102:K$121)</f>
        <v>4</v>
      </c>
      <c r="X25" s="36"/>
    </row>
    <row r="26" spans="1:24" x14ac:dyDescent="0.25">
      <c r="A26" s="39"/>
      <c r="B26" s="41"/>
      <c r="C26" t="s">
        <v>756</v>
      </c>
      <c r="D26" t="s">
        <v>1492</v>
      </c>
      <c r="E26" s="3">
        <f t="shared" si="0"/>
        <v>4</v>
      </c>
      <c r="F26">
        <v>56.41</v>
      </c>
      <c r="G26" s="3">
        <v>4</v>
      </c>
      <c r="H26">
        <v>16.98</v>
      </c>
      <c r="I26">
        <v>8.48</v>
      </c>
      <c r="J26">
        <v>5.48</v>
      </c>
      <c r="K26" s="3">
        <v>4</v>
      </c>
      <c r="L26" s="2">
        <v>12</v>
      </c>
      <c r="M26">
        <v>3.5</v>
      </c>
      <c r="N26">
        <v>0.5</v>
      </c>
      <c r="O26" s="19">
        <f t="shared" si="1"/>
        <v>1</v>
      </c>
      <c r="R26" s="1" t="s">
        <v>1493</v>
      </c>
      <c r="S26" s="24">
        <f>AVERAGE(L$62:L$81)</f>
        <v>7.95</v>
      </c>
      <c r="T26" s="25"/>
      <c r="U26" s="24">
        <f>AVERAGE(L$82:L$101)</f>
        <v>12</v>
      </c>
      <c r="V26" s="25"/>
      <c r="W26" s="35">
        <f>AVERAGE(L$102:L$121)</f>
        <v>15.9255</v>
      </c>
      <c r="X26" s="36"/>
    </row>
    <row r="27" spans="1:24" x14ac:dyDescent="0.25">
      <c r="A27" s="39"/>
      <c r="B27" s="41"/>
      <c r="C27" t="s">
        <v>757</v>
      </c>
      <c r="D27" t="s">
        <v>1492</v>
      </c>
      <c r="E27" s="3">
        <f t="shared" si="0"/>
        <v>4</v>
      </c>
      <c r="F27">
        <v>56.41</v>
      </c>
      <c r="G27" s="3">
        <v>4</v>
      </c>
      <c r="H27">
        <v>16.98</v>
      </c>
      <c r="I27">
        <v>8.48</v>
      </c>
      <c r="J27">
        <v>5.48</v>
      </c>
      <c r="K27" s="3">
        <v>4</v>
      </c>
      <c r="L27" s="2">
        <v>11.7</v>
      </c>
      <c r="M27">
        <v>3.2</v>
      </c>
      <c r="N27">
        <v>0.2</v>
      </c>
      <c r="O27" s="19">
        <f t="shared" si="1"/>
        <v>1</v>
      </c>
      <c r="R27" s="1" t="s">
        <v>1467</v>
      </c>
      <c r="S27" s="24">
        <f>AVERAGE(M$62:M$81)</f>
        <v>-0.55000000000000004</v>
      </c>
      <c r="T27" s="25"/>
      <c r="U27" s="24">
        <f>AVERAGE(M$82:M$101)</f>
        <v>3.5</v>
      </c>
      <c r="V27" s="25"/>
      <c r="W27" s="35">
        <f>AVERAGE(M$102:M$121)</f>
        <v>7.4254999999999995</v>
      </c>
      <c r="X27" s="36"/>
    </row>
    <row r="28" spans="1:24" x14ac:dyDescent="0.25">
      <c r="A28" s="39"/>
      <c r="B28" s="41"/>
      <c r="C28" t="s">
        <v>758</v>
      </c>
      <c r="D28" t="s">
        <v>1492</v>
      </c>
      <c r="E28" s="3">
        <f t="shared" si="0"/>
        <v>4</v>
      </c>
      <c r="F28">
        <v>56.41</v>
      </c>
      <c r="G28" s="3">
        <v>4</v>
      </c>
      <c r="H28">
        <v>16.98</v>
      </c>
      <c r="I28">
        <v>8.48</v>
      </c>
      <c r="J28">
        <v>5.48</v>
      </c>
      <c r="K28" s="3">
        <v>4</v>
      </c>
      <c r="L28" s="2">
        <v>11.48</v>
      </c>
      <c r="M28">
        <v>2.98</v>
      </c>
      <c r="N28">
        <v>-0.02</v>
      </c>
      <c r="O28" s="19">
        <f t="shared" si="1"/>
        <v>1</v>
      </c>
      <c r="R28" s="1" t="s">
        <v>1468</v>
      </c>
      <c r="S28" s="24">
        <f>AVERAGE(N$62:N$81)</f>
        <v>-3.55</v>
      </c>
      <c r="T28" s="25"/>
      <c r="U28" s="24">
        <f>AVERAGE(N$82:N$101)</f>
        <v>0.5</v>
      </c>
      <c r="V28" s="25"/>
      <c r="W28" s="35">
        <f>AVERAGE(N$102:N$121)</f>
        <v>4.4255000000000004</v>
      </c>
      <c r="X28" s="36"/>
    </row>
    <row r="29" spans="1:24" x14ac:dyDescent="0.25">
      <c r="A29" s="39"/>
      <c r="B29" s="41"/>
      <c r="C29" t="s">
        <v>759</v>
      </c>
      <c r="D29" t="s">
        <v>1492</v>
      </c>
      <c r="E29" s="3">
        <f t="shared" si="0"/>
        <v>4</v>
      </c>
      <c r="F29">
        <v>56.41</v>
      </c>
      <c r="G29" s="3">
        <v>4</v>
      </c>
      <c r="H29">
        <v>16.98</v>
      </c>
      <c r="I29">
        <v>8.48</v>
      </c>
      <c r="J29">
        <v>5.48</v>
      </c>
      <c r="K29" s="3">
        <v>4</v>
      </c>
      <c r="L29" s="2">
        <v>12</v>
      </c>
      <c r="M29">
        <v>3.5</v>
      </c>
      <c r="N29">
        <v>0.5</v>
      </c>
      <c r="O29" s="19">
        <f t="shared" si="1"/>
        <v>1</v>
      </c>
    </row>
    <row r="30" spans="1:24" x14ac:dyDescent="0.25">
      <c r="A30" s="39"/>
      <c r="B30" s="41"/>
      <c r="C30" t="s">
        <v>760</v>
      </c>
      <c r="D30" t="s">
        <v>1492</v>
      </c>
      <c r="E30" s="3">
        <f t="shared" si="0"/>
        <v>4</v>
      </c>
      <c r="F30">
        <v>56.41</v>
      </c>
      <c r="G30" s="3">
        <v>4</v>
      </c>
      <c r="H30">
        <v>16.98</v>
      </c>
      <c r="I30">
        <v>8.48</v>
      </c>
      <c r="J30">
        <v>5.48</v>
      </c>
      <c r="K30" s="3">
        <v>4</v>
      </c>
      <c r="L30" s="2">
        <v>12</v>
      </c>
      <c r="M30">
        <v>3.5</v>
      </c>
      <c r="N30">
        <v>0.5</v>
      </c>
      <c r="O30" s="19">
        <f t="shared" si="1"/>
        <v>1</v>
      </c>
      <c r="R30" s="37" t="s">
        <v>2</v>
      </c>
      <c r="S30" s="38"/>
      <c r="T30" s="38"/>
      <c r="U30" s="38"/>
      <c r="V30" s="38"/>
      <c r="W30" s="38"/>
      <c r="X30" s="26"/>
    </row>
    <row r="31" spans="1:24" x14ac:dyDescent="0.25">
      <c r="A31" s="39"/>
      <c r="B31" s="41"/>
      <c r="C31" t="s">
        <v>761</v>
      </c>
      <c r="D31" t="s">
        <v>1492</v>
      </c>
      <c r="E31" s="3">
        <f t="shared" si="0"/>
        <v>4</v>
      </c>
      <c r="F31">
        <v>56.41</v>
      </c>
      <c r="G31" s="3">
        <v>4</v>
      </c>
      <c r="H31">
        <v>16.98</v>
      </c>
      <c r="I31">
        <v>8.48</v>
      </c>
      <c r="J31">
        <v>5.48</v>
      </c>
      <c r="K31" s="3">
        <v>4</v>
      </c>
      <c r="L31" s="2">
        <v>12</v>
      </c>
      <c r="M31">
        <v>3.5</v>
      </c>
      <c r="N31">
        <v>0.5</v>
      </c>
      <c r="O31" s="19">
        <f t="shared" si="1"/>
        <v>1</v>
      </c>
      <c r="R31" s="1"/>
      <c r="S31" s="37" t="s">
        <v>1460</v>
      </c>
      <c r="T31" s="26"/>
      <c r="U31" s="37" t="s">
        <v>1461</v>
      </c>
      <c r="V31" s="26"/>
      <c r="W31" s="37" t="s">
        <v>1462</v>
      </c>
      <c r="X31" s="26"/>
    </row>
    <row r="32" spans="1:24" x14ac:dyDescent="0.25">
      <c r="A32" s="39"/>
      <c r="B32" s="41"/>
      <c r="C32" t="s">
        <v>762</v>
      </c>
      <c r="D32" t="s">
        <v>1492</v>
      </c>
      <c r="E32" s="3">
        <f t="shared" si="0"/>
        <v>4</v>
      </c>
      <c r="F32">
        <v>56.41</v>
      </c>
      <c r="G32" s="3">
        <v>4</v>
      </c>
      <c r="H32">
        <v>16.98</v>
      </c>
      <c r="I32">
        <v>8.48</v>
      </c>
      <c r="J32">
        <v>5.48</v>
      </c>
      <c r="K32" s="3">
        <v>4</v>
      </c>
      <c r="L32" s="2">
        <v>12</v>
      </c>
      <c r="M32">
        <v>3.5</v>
      </c>
      <c r="N32">
        <v>0.5</v>
      </c>
      <c r="O32" s="19">
        <f t="shared" si="1"/>
        <v>1</v>
      </c>
      <c r="R32" s="1" t="s">
        <v>1488</v>
      </c>
      <c r="S32" s="35">
        <f>AVERAGE(E$122:E$141)</f>
        <v>2</v>
      </c>
      <c r="T32" s="36"/>
      <c r="U32" s="35">
        <f>AVERAGE(E$142:E$161)</f>
        <v>4</v>
      </c>
      <c r="V32" s="26"/>
      <c r="W32" s="35">
        <f>AVERAGE(E$162:E$181)</f>
        <v>4</v>
      </c>
      <c r="X32" s="26"/>
    </row>
    <row r="33" spans="1:24" x14ac:dyDescent="0.25">
      <c r="A33" s="39"/>
      <c r="B33" s="41"/>
      <c r="C33" t="s">
        <v>763</v>
      </c>
      <c r="D33" t="s">
        <v>1492</v>
      </c>
      <c r="E33" s="3">
        <f t="shared" si="0"/>
        <v>4</v>
      </c>
      <c r="F33">
        <v>56.41</v>
      </c>
      <c r="G33" s="3">
        <v>4</v>
      </c>
      <c r="H33">
        <v>16.98</v>
      </c>
      <c r="I33">
        <v>8.48</v>
      </c>
      <c r="J33">
        <v>5.48</v>
      </c>
      <c r="K33" s="3">
        <v>4</v>
      </c>
      <c r="L33" s="2">
        <v>12</v>
      </c>
      <c r="M33">
        <v>3.5</v>
      </c>
      <c r="N33">
        <v>0.5</v>
      </c>
      <c r="O33" s="19">
        <f t="shared" si="1"/>
        <v>1</v>
      </c>
      <c r="R33" s="1" t="s">
        <v>1463</v>
      </c>
      <c r="S33" s="35">
        <f>AVERAGE(G$122:G$141)</f>
        <v>4</v>
      </c>
      <c r="T33" s="36"/>
      <c r="U33" s="35">
        <f>AVERAGE(G$142:G$161)</f>
        <v>4</v>
      </c>
      <c r="V33" s="26"/>
      <c r="W33" s="35">
        <f>AVERAGE(G$162:G$181)</f>
        <v>4</v>
      </c>
      <c r="X33" s="26"/>
    </row>
    <row r="34" spans="1:24" x14ac:dyDescent="0.25">
      <c r="A34" s="39"/>
      <c r="B34" s="41"/>
      <c r="C34" t="s">
        <v>764</v>
      </c>
      <c r="D34" t="s">
        <v>1492</v>
      </c>
      <c r="E34" s="3">
        <f t="shared" si="0"/>
        <v>4</v>
      </c>
      <c r="F34">
        <v>56.41</v>
      </c>
      <c r="G34" s="3">
        <v>4</v>
      </c>
      <c r="H34">
        <v>16.98</v>
      </c>
      <c r="I34">
        <v>8.48</v>
      </c>
      <c r="J34">
        <v>5.48</v>
      </c>
      <c r="K34" s="3">
        <v>4</v>
      </c>
      <c r="L34" s="2">
        <v>12</v>
      </c>
      <c r="M34">
        <v>3.5</v>
      </c>
      <c r="N34">
        <v>0.5</v>
      </c>
      <c r="O34" s="19">
        <f t="shared" si="1"/>
        <v>1</v>
      </c>
      <c r="R34" s="1" t="s">
        <v>1464</v>
      </c>
      <c r="S34" s="24">
        <f>AVERAGE(H$122:H$141)</f>
        <v>14.864999999999995</v>
      </c>
      <c r="T34" s="25"/>
      <c r="U34" s="24">
        <f>AVERAGE(H$142:H$161)</f>
        <v>22.299999999999997</v>
      </c>
      <c r="V34" s="25"/>
      <c r="W34" s="24">
        <f>AVERAGE(H$162:H$181)</f>
        <v>29.638499999999993</v>
      </c>
      <c r="X34" s="25"/>
    </row>
    <row r="35" spans="1:24" x14ac:dyDescent="0.25">
      <c r="A35" s="39"/>
      <c r="B35" s="41"/>
      <c r="C35" t="s">
        <v>765</v>
      </c>
      <c r="D35" t="s">
        <v>1492</v>
      </c>
      <c r="E35" s="3">
        <f t="shared" si="0"/>
        <v>4</v>
      </c>
      <c r="F35">
        <v>56.41</v>
      </c>
      <c r="G35" s="3">
        <v>4</v>
      </c>
      <c r="H35">
        <v>16.98</v>
      </c>
      <c r="I35">
        <v>8.48</v>
      </c>
      <c r="J35">
        <v>5.48</v>
      </c>
      <c r="K35" s="3">
        <v>4</v>
      </c>
      <c r="L35" s="2">
        <v>12</v>
      </c>
      <c r="M35">
        <v>3.5</v>
      </c>
      <c r="N35">
        <v>0.5</v>
      </c>
      <c r="O35" s="19">
        <f t="shared" si="1"/>
        <v>1</v>
      </c>
      <c r="R35" s="1" t="s">
        <v>1465</v>
      </c>
      <c r="S35" s="24">
        <f>AVERAGE(I$122:I$141)</f>
        <v>6.3700000000000028</v>
      </c>
      <c r="T35" s="25"/>
      <c r="U35" s="24">
        <f>AVERAGE(I$142:I$161)</f>
        <v>13.799999999999997</v>
      </c>
      <c r="V35" s="25"/>
      <c r="W35" s="24">
        <f>AVERAGE(I$162:I$181)</f>
        <v>21.138999999999999</v>
      </c>
      <c r="X35" s="25"/>
    </row>
    <row r="36" spans="1:24" x14ac:dyDescent="0.25">
      <c r="A36" s="39"/>
      <c r="B36" s="41"/>
      <c r="C36" t="s">
        <v>766</v>
      </c>
      <c r="D36" t="s">
        <v>1492</v>
      </c>
      <c r="E36" s="3">
        <f t="shared" si="0"/>
        <v>4</v>
      </c>
      <c r="F36">
        <v>56.41</v>
      </c>
      <c r="G36" s="3">
        <v>4</v>
      </c>
      <c r="H36">
        <v>16.98</v>
      </c>
      <c r="I36">
        <v>8.48</v>
      </c>
      <c r="J36">
        <v>5.48</v>
      </c>
      <c r="K36" s="3">
        <v>4</v>
      </c>
      <c r="L36" s="2">
        <v>12</v>
      </c>
      <c r="M36">
        <v>3.5</v>
      </c>
      <c r="N36">
        <v>0.5</v>
      </c>
      <c r="O36" s="19">
        <f t="shared" si="1"/>
        <v>1</v>
      </c>
      <c r="R36" s="1" t="s">
        <v>1466</v>
      </c>
      <c r="S36" s="24">
        <f>AVERAGE(J$122:J$141)</f>
        <v>3.3699999999999997</v>
      </c>
      <c r="T36" s="25"/>
      <c r="U36" s="24">
        <f>AVERAGE(J$142:J$161)</f>
        <v>10.799999999999997</v>
      </c>
      <c r="V36" s="25"/>
      <c r="W36" s="24">
        <f>AVERAGE(J$162:J$181)</f>
        <v>18.139000000000003</v>
      </c>
      <c r="X36" s="25"/>
    </row>
    <row r="37" spans="1:24" x14ac:dyDescent="0.25">
      <c r="A37" s="39"/>
      <c r="B37" s="41"/>
      <c r="C37" t="s">
        <v>767</v>
      </c>
      <c r="D37" t="s">
        <v>1492</v>
      </c>
      <c r="E37" s="3">
        <f t="shared" si="0"/>
        <v>4</v>
      </c>
      <c r="F37">
        <v>56.41</v>
      </c>
      <c r="G37" s="3">
        <v>4</v>
      </c>
      <c r="H37">
        <v>16.98</v>
      </c>
      <c r="I37">
        <v>8.48</v>
      </c>
      <c r="J37">
        <v>5.48</v>
      </c>
      <c r="K37" s="3">
        <v>4</v>
      </c>
      <c r="L37" s="2">
        <v>12</v>
      </c>
      <c r="M37">
        <v>3.5</v>
      </c>
      <c r="N37">
        <v>0.5</v>
      </c>
      <c r="O37" s="19">
        <f t="shared" si="1"/>
        <v>1</v>
      </c>
      <c r="R37" s="1" t="s">
        <v>1512</v>
      </c>
      <c r="S37" s="35">
        <f>AVERAGE(K$122:K$141)</f>
        <v>2</v>
      </c>
      <c r="T37" s="36"/>
      <c r="U37" s="35">
        <f>AVERAGE(K$142:K$161)</f>
        <v>4</v>
      </c>
      <c r="V37" s="26"/>
      <c r="W37" s="35">
        <f>AVERAGE(K$162:K$181)</f>
        <v>4</v>
      </c>
      <c r="X37" s="26"/>
    </row>
    <row r="38" spans="1:24" x14ac:dyDescent="0.25">
      <c r="A38" s="39"/>
      <c r="B38" s="41"/>
      <c r="C38" t="s">
        <v>768</v>
      </c>
      <c r="D38" t="s">
        <v>1492</v>
      </c>
      <c r="E38" s="3">
        <f t="shared" si="0"/>
        <v>4</v>
      </c>
      <c r="F38">
        <v>56.41</v>
      </c>
      <c r="G38" s="3">
        <v>4</v>
      </c>
      <c r="H38">
        <v>16.98</v>
      </c>
      <c r="I38">
        <v>8.48</v>
      </c>
      <c r="J38">
        <v>5.48</v>
      </c>
      <c r="K38" s="3">
        <v>4</v>
      </c>
      <c r="L38" s="2">
        <v>11.19</v>
      </c>
      <c r="M38">
        <v>2.69</v>
      </c>
      <c r="N38">
        <v>-0.31</v>
      </c>
      <c r="O38" s="19">
        <f t="shared" si="1"/>
        <v>1</v>
      </c>
      <c r="R38" s="1" t="s">
        <v>1493</v>
      </c>
      <c r="S38" s="24">
        <f>AVERAGE(L$122:L$141)</f>
        <v>8</v>
      </c>
      <c r="T38" s="25"/>
      <c r="U38" s="24">
        <f>AVERAGE(L$142:L$161)</f>
        <v>11.962</v>
      </c>
      <c r="V38" s="25"/>
      <c r="W38" s="24">
        <f>AVERAGE(L$162:L$181)</f>
        <v>15.95</v>
      </c>
      <c r="X38" s="25"/>
    </row>
    <row r="39" spans="1:24" x14ac:dyDescent="0.25">
      <c r="A39" s="39"/>
      <c r="B39" s="41"/>
      <c r="C39" t="s">
        <v>769</v>
      </c>
      <c r="D39" t="s">
        <v>1492</v>
      </c>
      <c r="E39" s="3">
        <f t="shared" si="0"/>
        <v>4</v>
      </c>
      <c r="F39">
        <v>56.41</v>
      </c>
      <c r="G39" s="3">
        <v>4</v>
      </c>
      <c r="H39">
        <v>16.98</v>
      </c>
      <c r="I39">
        <v>8.48</v>
      </c>
      <c r="J39">
        <v>5.48</v>
      </c>
      <c r="K39" s="3">
        <v>4</v>
      </c>
      <c r="L39" s="2">
        <v>12</v>
      </c>
      <c r="M39">
        <v>3.5</v>
      </c>
      <c r="N39">
        <v>0.5</v>
      </c>
      <c r="O39" s="19">
        <f t="shared" si="1"/>
        <v>1</v>
      </c>
      <c r="R39" s="1" t="s">
        <v>1467</v>
      </c>
      <c r="S39" s="24">
        <f>AVERAGE(M$122:M$141)</f>
        <v>-0.5</v>
      </c>
      <c r="T39" s="25"/>
      <c r="U39" s="24">
        <f>AVERAGE(M$142:M$161)</f>
        <v>3.4624999999999999</v>
      </c>
      <c r="V39" s="25"/>
      <c r="W39" s="24">
        <f>AVERAGE(M$162:M$181)</f>
        <v>7.45</v>
      </c>
      <c r="X39" s="25"/>
    </row>
    <row r="40" spans="1:24" x14ac:dyDescent="0.25">
      <c r="A40" s="39"/>
      <c r="B40" s="41"/>
      <c r="C40" t="s">
        <v>770</v>
      </c>
      <c r="D40" t="s">
        <v>1492</v>
      </c>
      <c r="E40" s="3">
        <f t="shared" si="0"/>
        <v>4</v>
      </c>
      <c r="F40">
        <v>56.41</v>
      </c>
      <c r="G40" s="3">
        <v>4</v>
      </c>
      <c r="H40">
        <v>16.98</v>
      </c>
      <c r="I40">
        <v>8.48</v>
      </c>
      <c r="J40">
        <v>5.48</v>
      </c>
      <c r="K40" s="3">
        <v>4</v>
      </c>
      <c r="L40" s="2">
        <v>12</v>
      </c>
      <c r="M40">
        <v>3.5</v>
      </c>
      <c r="N40">
        <v>0.5</v>
      </c>
      <c r="O40" s="19">
        <f t="shared" si="1"/>
        <v>1</v>
      </c>
      <c r="R40" s="1" t="s">
        <v>1468</v>
      </c>
      <c r="S40" s="24">
        <f>AVERAGE(N$122:N$141)</f>
        <v>-3.5</v>
      </c>
      <c r="T40" s="25"/>
      <c r="U40" s="24">
        <f>AVERAGE(N$142:N$161)</f>
        <v>0.46250000000000002</v>
      </c>
      <c r="V40" s="25"/>
      <c r="W40" s="24">
        <f>AVERAGE(N$162:N$181)</f>
        <v>4.45</v>
      </c>
      <c r="X40" s="25"/>
    </row>
    <row r="41" spans="1:24" x14ac:dyDescent="0.25">
      <c r="A41" s="39"/>
      <c r="B41" s="42"/>
      <c r="C41" s="10" t="s">
        <v>771</v>
      </c>
      <c r="D41" s="10" t="s">
        <v>1492</v>
      </c>
      <c r="E41" s="11">
        <f t="shared" si="0"/>
        <v>4</v>
      </c>
      <c r="F41" s="10">
        <v>56.41</v>
      </c>
      <c r="G41" s="11">
        <v>4</v>
      </c>
      <c r="H41" s="10">
        <v>16.98</v>
      </c>
      <c r="I41" s="10">
        <v>8.48</v>
      </c>
      <c r="J41" s="10">
        <v>5.48</v>
      </c>
      <c r="K41" s="11">
        <v>4</v>
      </c>
      <c r="L41" s="12">
        <v>11.93</v>
      </c>
      <c r="M41" s="10">
        <v>3.43</v>
      </c>
      <c r="N41" s="10">
        <v>0.43</v>
      </c>
      <c r="O41" s="20">
        <f t="shared" si="1"/>
        <v>1</v>
      </c>
    </row>
    <row r="42" spans="1:24" x14ac:dyDescent="0.25">
      <c r="A42" s="39"/>
      <c r="B42" s="40" t="s">
        <v>5</v>
      </c>
      <c r="C42" s="7" t="s">
        <v>772</v>
      </c>
      <c r="D42" s="7" t="s">
        <v>1492</v>
      </c>
      <c r="E42" s="8">
        <f t="shared" si="0"/>
        <v>4</v>
      </c>
      <c r="F42" s="7">
        <v>75.209999999999994</v>
      </c>
      <c r="G42" s="8">
        <v>4</v>
      </c>
      <c r="H42" s="7">
        <v>22.64</v>
      </c>
      <c r="I42" s="7">
        <v>14.14</v>
      </c>
      <c r="J42" s="7">
        <v>11.14</v>
      </c>
      <c r="K42" s="8">
        <v>4</v>
      </c>
      <c r="L42" s="9">
        <v>15.19</v>
      </c>
      <c r="M42" s="7">
        <v>6.69</v>
      </c>
      <c r="N42" s="7">
        <v>3.69</v>
      </c>
      <c r="O42" s="18">
        <f t="shared" si="1"/>
        <v>1</v>
      </c>
      <c r="R42" s="37" t="s">
        <v>1491</v>
      </c>
      <c r="S42" s="38"/>
      <c r="T42" s="38"/>
      <c r="U42" s="38"/>
      <c r="V42" s="38"/>
      <c r="W42" s="38"/>
      <c r="X42" s="26"/>
    </row>
    <row r="43" spans="1:24" x14ac:dyDescent="0.25">
      <c r="A43" s="39"/>
      <c r="B43" s="41"/>
      <c r="C43" t="s">
        <v>773</v>
      </c>
      <c r="D43" t="s">
        <v>1492</v>
      </c>
      <c r="E43" s="3">
        <f t="shared" si="0"/>
        <v>4</v>
      </c>
      <c r="F43">
        <v>75.209999999999994</v>
      </c>
      <c r="G43" s="3">
        <v>4</v>
      </c>
      <c r="H43">
        <v>22.64</v>
      </c>
      <c r="I43">
        <v>14.14</v>
      </c>
      <c r="J43">
        <v>11.14</v>
      </c>
      <c r="K43" s="3">
        <v>4</v>
      </c>
      <c r="L43" s="2">
        <v>16</v>
      </c>
      <c r="M43">
        <v>7.5</v>
      </c>
      <c r="N43">
        <v>4.5</v>
      </c>
      <c r="O43" s="19">
        <f t="shared" si="1"/>
        <v>1</v>
      </c>
      <c r="R43" s="1"/>
      <c r="S43" s="37" t="s">
        <v>1460</v>
      </c>
      <c r="T43" s="26"/>
      <c r="U43" s="37" t="s">
        <v>1461</v>
      </c>
      <c r="V43" s="26"/>
      <c r="W43" s="37" t="s">
        <v>1462</v>
      </c>
      <c r="X43" s="26"/>
    </row>
    <row r="44" spans="1:24" x14ac:dyDescent="0.25">
      <c r="A44" s="39"/>
      <c r="B44" s="41"/>
      <c r="C44" t="s">
        <v>774</v>
      </c>
      <c r="D44" t="s">
        <v>1492</v>
      </c>
      <c r="E44" s="3">
        <f t="shared" si="0"/>
        <v>4</v>
      </c>
      <c r="F44">
        <v>75.209999999999994</v>
      </c>
      <c r="G44" s="3">
        <v>4</v>
      </c>
      <c r="H44">
        <v>22.64</v>
      </c>
      <c r="I44">
        <v>14.14</v>
      </c>
      <c r="J44">
        <v>11.14</v>
      </c>
      <c r="K44" s="3">
        <v>4</v>
      </c>
      <c r="L44" s="2">
        <v>15.97</v>
      </c>
      <c r="M44">
        <v>7.47</v>
      </c>
      <c r="N44">
        <v>4.47</v>
      </c>
      <c r="O44" s="19">
        <f t="shared" si="1"/>
        <v>1</v>
      </c>
      <c r="R44" s="1" t="s">
        <v>1488</v>
      </c>
      <c r="S44" s="35">
        <f>AVERAGE(E$182:E$201)</f>
        <v>2</v>
      </c>
      <c r="T44" s="36"/>
      <c r="U44" s="35">
        <f>AVERAGE(E$202:E$221)</f>
        <v>4</v>
      </c>
      <c r="V44" s="26"/>
      <c r="W44" s="35">
        <f>AVERAGE(E$222:E$241)</f>
        <v>4</v>
      </c>
      <c r="X44" s="26"/>
    </row>
    <row r="45" spans="1:24" x14ac:dyDescent="0.25">
      <c r="A45" s="39"/>
      <c r="B45" s="41"/>
      <c r="C45" t="s">
        <v>775</v>
      </c>
      <c r="D45" t="s">
        <v>1492</v>
      </c>
      <c r="E45" s="3">
        <f t="shared" si="0"/>
        <v>4</v>
      </c>
      <c r="F45">
        <v>75.209999999999994</v>
      </c>
      <c r="G45" s="3">
        <v>4</v>
      </c>
      <c r="H45">
        <v>22.64</v>
      </c>
      <c r="I45">
        <v>14.14</v>
      </c>
      <c r="J45">
        <v>11.14</v>
      </c>
      <c r="K45" s="3">
        <v>4</v>
      </c>
      <c r="L45" s="2">
        <v>16</v>
      </c>
      <c r="M45">
        <v>7.5</v>
      </c>
      <c r="N45">
        <v>4.5</v>
      </c>
      <c r="O45" s="19">
        <f t="shared" si="1"/>
        <v>1</v>
      </c>
      <c r="R45" s="1" t="s">
        <v>1463</v>
      </c>
      <c r="S45" s="35">
        <f>AVERAGE(G$182:G$201)</f>
        <v>4</v>
      </c>
      <c r="T45" s="36"/>
      <c r="U45" s="35">
        <f>AVERAGE(G$202:G$221)</f>
        <v>4</v>
      </c>
      <c r="V45" s="26"/>
      <c r="W45" s="35">
        <f>AVERAGE(G$222:G$241)</f>
        <v>4</v>
      </c>
      <c r="X45" s="26"/>
    </row>
    <row r="46" spans="1:24" x14ac:dyDescent="0.25">
      <c r="A46" s="39"/>
      <c r="B46" s="41"/>
      <c r="C46" t="s">
        <v>776</v>
      </c>
      <c r="D46" t="s">
        <v>1492</v>
      </c>
      <c r="E46" s="3">
        <f t="shared" si="0"/>
        <v>4</v>
      </c>
      <c r="F46">
        <v>75.209999999999994</v>
      </c>
      <c r="G46" s="3">
        <v>4</v>
      </c>
      <c r="H46">
        <v>22.64</v>
      </c>
      <c r="I46">
        <v>14.14</v>
      </c>
      <c r="J46">
        <v>11.14</v>
      </c>
      <c r="K46" s="3">
        <v>4</v>
      </c>
      <c r="L46" s="2">
        <v>16</v>
      </c>
      <c r="M46">
        <v>7.5</v>
      </c>
      <c r="N46">
        <v>4.5</v>
      </c>
      <c r="O46" s="19">
        <f t="shared" si="1"/>
        <v>1</v>
      </c>
      <c r="R46" s="1" t="s">
        <v>1464</v>
      </c>
      <c r="S46" s="24">
        <f>AVERAGE(H$182:H$201)</f>
        <v>15.690999999999999</v>
      </c>
      <c r="T46" s="25"/>
      <c r="U46" s="24">
        <f>AVERAGE(H$202:H$221)</f>
        <v>23.581000000000003</v>
      </c>
      <c r="V46" s="25"/>
      <c r="W46" s="24">
        <f>AVERAGE(H$222:H$241)</f>
        <v>31.570000000000004</v>
      </c>
      <c r="X46" s="25"/>
    </row>
    <row r="47" spans="1:24" x14ac:dyDescent="0.25">
      <c r="A47" s="39"/>
      <c r="B47" s="41"/>
      <c r="C47" t="s">
        <v>777</v>
      </c>
      <c r="D47" t="s">
        <v>1492</v>
      </c>
      <c r="E47" s="3">
        <f t="shared" si="0"/>
        <v>4</v>
      </c>
      <c r="F47">
        <v>75.209999999999994</v>
      </c>
      <c r="G47" s="3">
        <v>4</v>
      </c>
      <c r="H47">
        <v>22.64</v>
      </c>
      <c r="I47">
        <v>14.14</v>
      </c>
      <c r="J47">
        <v>11.14</v>
      </c>
      <c r="K47" s="3">
        <v>4</v>
      </c>
      <c r="L47" s="2">
        <v>16</v>
      </c>
      <c r="M47">
        <v>7.5</v>
      </c>
      <c r="N47">
        <v>4.5</v>
      </c>
      <c r="O47" s="19">
        <f t="shared" si="1"/>
        <v>1</v>
      </c>
      <c r="R47" s="1" t="s">
        <v>1465</v>
      </c>
      <c r="S47" s="24">
        <f>AVERAGE(I$182:I$201)</f>
        <v>7.1910000000000007</v>
      </c>
      <c r="T47" s="25"/>
      <c r="U47" s="24">
        <f>AVERAGE(I$202:I$221)</f>
        <v>15.081500000000005</v>
      </c>
      <c r="V47" s="25"/>
      <c r="W47" s="24">
        <f>AVERAGE(I$222:I$241)</f>
        <v>23.069999999999997</v>
      </c>
      <c r="X47" s="25"/>
    </row>
    <row r="48" spans="1:24" x14ac:dyDescent="0.25">
      <c r="A48" s="39"/>
      <c r="B48" s="41"/>
      <c r="C48" t="s">
        <v>778</v>
      </c>
      <c r="D48" t="s">
        <v>1492</v>
      </c>
      <c r="E48" s="3">
        <f t="shared" si="0"/>
        <v>4</v>
      </c>
      <c r="F48">
        <v>75.209999999999994</v>
      </c>
      <c r="G48" s="3">
        <v>4</v>
      </c>
      <c r="H48">
        <v>22.64</v>
      </c>
      <c r="I48">
        <v>14.14</v>
      </c>
      <c r="J48">
        <v>11.14</v>
      </c>
      <c r="K48" s="3">
        <v>4</v>
      </c>
      <c r="L48" s="2">
        <v>16</v>
      </c>
      <c r="M48">
        <v>7.5</v>
      </c>
      <c r="N48">
        <v>4.5</v>
      </c>
      <c r="O48" s="19">
        <f t="shared" si="1"/>
        <v>1</v>
      </c>
      <c r="R48" s="1" t="s">
        <v>1466</v>
      </c>
      <c r="S48" s="24">
        <f>AVERAGE(J$182:J$201)</f>
        <v>4.1910000000000007</v>
      </c>
      <c r="T48" s="25"/>
      <c r="U48" s="24">
        <f>AVERAGE(J$202:J$221)</f>
        <v>12.081500000000004</v>
      </c>
      <c r="V48" s="25"/>
      <c r="W48" s="24">
        <f>AVERAGE(J$222:J$241)</f>
        <v>20.069999999999997</v>
      </c>
      <c r="X48" s="25"/>
    </row>
    <row r="49" spans="1:24" x14ac:dyDescent="0.25">
      <c r="A49" s="39"/>
      <c r="B49" s="41"/>
      <c r="C49" t="s">
        <v>779</v>
      </c>
      <c r="D49" t="s">
        <v>1492</v>
      </c>
      <c r="E49" s="3">
        <f t="shared" si="0"/>
        <v>4</v>
      </c>
      <c r="F49">
        <v>75.209999999999994</v>
      </c>
      <c r="G49" s="3">
        <v>4</v>
      </c>
      <c r="H49">
        <v>22.64</v>
      </c>
      <c r="I49">
        <v>14.14</v>
      </c>
      <c r="J49">
        <v>11.14</v>
      </c>
      <c r="K49" s="3">
        <v>4</v>
      </c>
      <c r="L49" s="2">
        <v>16</v>
      </c>
      <c r="M49">
        <v>7.5</v>
      </c>
      <c r="N49">
        <v>4.5</v>
      </c>
      <c r="O49" s="19">
        <f t="shared" si="1"/>
        <v>1</v>
      </c>
      <c r="R49" s="1" t="s">
        <v>1512</v>
      </c>
      <c r="S49" s="35">
        <f>AVERAGE(K$182:K$201)</f>
        <v>2</v>
      </c>
      <c r="T49" s="36"/>
      <c r="U49" s="35">
        <f>AVERAGE(K$202:K$221)</f>
        <v>4</v>
      </c>
      <c r="V49" s="26"/>
      <c r="W49" s="35">
        <f>AVERAGE(K$222:K$241)</f>
        <v>4</v>
      </c>
      <c r="X49" s="26"/>
    </row>
    <row r="50" spans="1:24" x14ac:dyDescent="0.25">
      <c r="A50" s="39"/>
      <c r="B50" s="41"/>
      <c r="C50" t="s">
        <v>780</v>
      </c>
      <c r="D50" t="s">
        <v>1492</v>
      </c>
      <c r="E50" s="3">
        <f t="shared" si="0"/>
        <v>4</v>
      </c>
      <c r="F50">
        <v>75.209999999999994</v>
      </c>
      <c r="G50" s="3">
        <v>4</v>
      </c>
      <c r="H50">
        <v>22.64</v>
      </c>
      <c r="I50">
        <v>14.14</v>
      </c>
      <c r="J50">
        <v>11.14</v>
      </c>
      <c r="K50" s="3">
        <v>4</v>
      </c>
      <c r="L50" s="2">
        <v>16</v>
      </c>
      <c r="M50">
        <v>7.5</v>
      </c>
      <c r="N50">
        <v>4.5</v>
      </c>
      <c r="O50" s="19">
        <f t="shared" si="1"/>
        <v>1</v>
      </c>
      <c r="R50" s="1" t="s">
        <v>1493</v>
      </c>
      <c r="S50" s="24">
        <f>AVERAGE(L$182:L$201)</f>
        <v>7.9209999999999994</v>
      </c>
      <c r="T50" s="25"/>
      <c r="U50" s="24">
        <f>AVERAGE(L$202:L$221)</f>
        <v>11.908999999999999</v>
      </c>
      <c r="V50" s="25"/>
      <c r="W50" s="24">
        <f>AVERAGE(L$222:L$241)</f>
        <v>16</v>
      </c>
      <c r="X50" s="25"/>
    </row>
    <row r="51" spans="1:24" x14ac:dyDescent="0.25">
      <c r="A51" s="39"/>
      <c r="B51" s="41"/>
      <c r="C51" t="s">
        <v>781</v>
      </c>
      <c r="D51" t="s">
        <v>1492</v>
      </c>
      <c r="E51" s="3">
        <f t="shared" si="0"/>
        <v>4</v>
      </c>
      <c r="F51">
        <v>75.209999999999994</v>
      </c>
      <c r="G51" s="3">
        <v>4</v>
      </c>
      <c r="H51">
        <v>22.64</v>
      </c>
      <c r="I51">
        <v>14.14</v>
      </c>
      <c r="J51">
        <v>11.14</v>
      </c>
      <c r="K51" s="3">
        <v>4</v>
      </c>
      <c r="L51" s="2">
        <v>16</v>
      </c>
      <c r="M51">
        <v>7.5</v>
      </c>
      <c r="N51">
        <v>4.5</v>
      </c>
      <c r="O51" s="19">
        <f t="shared" si="1"/>
        <v>1</v>
      </c>
      <c r="R51" s="1" t="s">
        <v>1467</v>
      </c>
      <c r="S51" s="24">
        <f>AVERAGE(M$182:M$201)</f>
        <v>-0.57899999999999996</v>
      </c>
      <c r="T51" s="25"/>
      <c r="U51" s="24">
        <f>AVERAGE(M$202:M$221)</f>
        <v>3.4095</v>
      </c>
      <c r="V51" s="25"/>
      <c r="W51" s="24">
        <f>AVERAGE(M$222:M$241)</f>
        <v>7.5</v>
      </c>
      <c r="X51" s="25"/>
    </row>
    <row r="52" spans="1:24" x14ac:dyDescent="0.25">
      <c r="A52" s="39"/>
      <c r="B52" s="41"/>
      <c r="C52" t="s">
        <v>782</v>
      </c>
      <c r="D52" t="s">
        <v>1492</v>
      </c>
      <c r="E52" s="3">
        <f t="shared" si="0"/>
        <v>4</v>
      </c>
      <c r="F52">
        <v>75.209999999999994</v>
      </c>
      <c r="G52" s="3">
        <v>4</v>
      </c>
      <c r="H52">
        <v>22.64</v>
      </c>
      <c r="I52">
        <v>14.14</v>
      </c>
      <c r="J52">
        <v>11.14</v>
      </c>
      <c r="K52" s="3">
        <v>4</v>
      </c>
      <c r="L52" s="2">
        <v>15.67</v>
      </c>
      <c r="M52">
        <v>7.17</v>
      </c>
      <c r="N52">
        <v>4.17</v>
      </c>
      <c r="O52" s="19">
        <f t="shared" si="1"/>
        <v>1</v>
      </c>
      <c r="R52" s="1" t="s">
        <v>1468</v>
      </c>
      <c r="S52" s="24">
        <f>AVERAGE(N$182:N$201)</f>
        <v>-3.5789999999999997</v>
      </c>
      <c r="T52" s="25"/>
      <c r="U52" s="24">
        <f>AVERAGE(N$202:N$221)</f>
        <v>0.40950000000000009</v>
      </c>
      <c r="V52" s="25"/>
      <c r="W52" s="24">
        <f>AVERAGE(N$222:N$241)</f>
        <v>4.5</v>
      </c>
      <c r="X52" s="25"/>
    </row>
    <row r="53" spans="1:24" x14ac:dyDescent="0.25">
      <c r="A53" s="39"/>
      <c r="B53" s="41"/>
      <c r="C53" t="s">
        <v>783</v>
      </c>
      <c r="D53" t="s">
        <v>1492</v>
      </c>
      <c r="E53" s="3">
        <f t="shared" si="0"/>
        <v>4</v>
      </c>
      <c r="F53">
        <v>75.209999999999994</v>
      </c>
      <c r="G53" s="3">
        <v>4</v>
      </c>
      <c r="H53">
        <v>22.64</v>
      </c>
      <c r="I53">
        <v>14.14</v>
      </c>
      <c r="J53">
        <v>11.14</v>
      </c>
      <c r="K53" s="3">
        <v>4</v>
      </c>
      <c r="L53" s="2">
        <v>16</v>
      </c>
      <c r="M53">
        <v>7.5</v>
      </c>
      <c r="N53">
        <v>4.5</v>
      </c>
      <c r="O53" s="19">
        <f t="shared" si="1"/>
        <v>1</v>
      </c>
    </row>
    <row r="54" spans="1:24" x14ac:dyDescent="0.25">
      <c r="A54" s="39"/>
      <c r="B54" s="41"/>
      <c r="C54" t="s">
        <v>784</v>
      </c>
      <c r="D54" t="s">
        <v>1492</v>
      </c>
      <c r="E54" s="3">
        <f t="shared" si="0"/>
        <v>4</v>
      </c>
      <c r="F54">
        <v>75.209999999999994</v>
      </c>
      <c r="G54" s="3">
        <v>4</v>
      </c>
      <c r="H54">
        <v>22.64</v>
      </c>
      <c r="I54">
        <v>14.14</v>
      </c>
      <c r="J54">
        <v>11.14</v>
      </c>
      <c r="K54" s="3">
        <v>4</v>
      </c>
      <c r="L54" s="2">
        <v>15.97</v>
      </c>
      <c r="M54">
        <v>7.47</v>
      </c>
      <c r="N54">
        <v>4.47</v>
      </c>
      <c r="O54" s="19">
        <f t="shared" si="1"/>
        <v>1</v>
      </c>
      <c r="R54" s="37"/>
      <c r="S54" s="38"/>
      <c r="T54" s="38"/>
      <c r="U54" s="38"/>
      <c r="V54" s="38"/>
      <c r="W54" s="38"/>
      <c r="X54" s="26"/>
    </row>
    <row r="55" spans="1:24" x14ac:dyDescent="0.25">
      <c r="A55" s="39"/>
      <c r="B55" s="41"/>
      <c r="C55" t="s">
        <v>785</v>
      </c>
      <c r="D55" t="s">
        <v>1492</v>
      </c>
      <c r="E55" s="3">
        <f t="shared" si="0"/>
        <v>4</v>
      </c>
      <c r="F55">
        <v>75.209999999999994</v>
      </c>
      <c r="G55" s="3">
        <v>4</v>
      </c>
      <c r="H55">
        <v>22.64</v>
      </c>
      <c r="I55">
        <v>14.14</v>
      </c>
      <c r="J55">
        <v>11.14</v>
      </c>
      <c r="K55" s="3">
        <v>4</v>
      </c>
      <c r="L55" s="2">
        <v>16</v>
      </c>
      <c r="M55">
        <v>7.5</v>
      </c>
      <c r="N55">
        <v>4.5</v>
      </c>
      <c r="O55" s="19">
        <f t="shared" si="1"/>
        <v>1</v>
      </c>
      <c r="R55" s="1"/>
      <c r="S55" s="30" t="s">
        <v>1460</v>
      </c>
      <c r="T55" s="30"/>
      <c r="U55" s="30" t="s">
        <v>1461</v>
      </c>
      <c r="V55" s="30"/>
      <c r="W55" s="30" t="s">
        <v>1462</v>
      </c>
      <c r="X55" s="30"/>
    </row>
    <row r="56" spans="1:24" x14ac:dyDescent="0.25">
      <c r="A56" s="39"/>
      <c r="B56" s="41"/>
      <c r="C56" t="s">
        <v>786</v>
      </c>
      <c r="D56" t="s">
        <v>1492</v>
      </c>
      <c r="E56" s="3">
        <f t="shared" si="0"/>
        <v>4</v>
      </c>
      <c r="F56">
        <v>75.209999999999994</v>
      </c>
      <c r="G56" s="3">
        <v>4</v>
      </c>
      <c r="H56">
        <v>22.64</v>
      </c>
      <c r="I56">
        <v>14.14</v>
      </c>
      <c r="J56">
        <v>11.14</v>
      </c>
      <c r="K56" s="3">
        <v>4</v>
      </c>
      <c r="L56" s="2">
        <v>15</v>
      </c>
      <c r="M56">
        <v>6.5</v>
      </c>
      <c r="N56">
        <v>3.5</v>
      </c>
      <c r="O56" s="19">
        <f t="shared" si="1"/>
        <v>1</v>
      </c>
      <c r="Q56" s="32" t="s">
        <v>0</v>
      </c>
      <c r="R56" s="1" t="s">
        <v>1488</v>
      </c>
      <c r="S56" s="35">
        <v>2</v>
      </c>
      <c r="T56" s="36"/>
      <c r="U56" s="35">
        <v>4</v>
      </c>
      <c r="V56" s="26"/>
      <c r="W56" s="35">
        <v>4</v>
      </c>
      <c r="X56" s="26"/>
    </row>
    <row r="57" spans="1:24" x14ac:dyDescent="0.25">
      <c r="A57" s="39"/>
      <c r="B57" s="41"/>
      <c r="C57" t="s">
        <v>787</v>
      </c>
      <c r="D57" t="s">
        <v>1492</v>
      </c>
      <c r="E57" s="3">
        <f t="shared" si="0"/>
        <v>4</v>
      </c>
      <c r="F57">
        <v>75.209999999999994</v>
      </c>
      <c r="G57" s="3">
        <v>4</v>
      </c>
      <c r="H57">
        <v>22.64</v>
      </c>
      <c r="I57">
        <v>14.14</v>
      </c>
      <c r="J57">
        <v>11.14</v>
      </c>
      <c r="K57" s="3">
        <v>4</v>
      </c>
      <c r="L57" s="2">
        <v>16</v>
      </c>
      <c r="M57">
        <v>7.5</v>
      </c>
      <c r="N57">
        <v>4.5</v>
      </c>
      <c r="O57" s="19">
        <f t="shared" si="1"/>
        <v>1</v>
      </c>
      <c r="Q57" s="33"/>
      <c r="R57" s="1" t="s">
        <v>1512</v>
      </c>
      <c r="S57" s="35">
        <v>2</v>
      </c>
      <c r="T57" s="26"/>
      <c r="U57" s="35">
        <v>4</v>
      </c>
      <c r="V57" s="26"/>
      <c r="W57" s="35">
        <v>4</v>
      </c>
      <c r="X57" s="26"/>
    </row>
    <row r="58" spans="1:24" x14ac:dyDescent="0.25">
      <c r="A58" s="39"/>
      <c r="B58" s="41"/>
      <c r="C58" t="s">
        <v>788</v>
      </c>
      <c r="D58" t="s">
        <v>1492</v>
      </c>
      <c r="E58" s="3">
        <f t="shared" si="0"/>
        <v>4</v>
      </c>
      <c r="F58">
        <v>75.209999999999994</v>
      </c>
      <c r="G58" s="3">
        <v>4</v>
      </c>
      <c r="H58">
        <v>22.64</v>
      </c>
      <c r="I58">
        <v>14.14</v>
      </c>
      <c r="J58">
        <v>11.14</v>
      </c>
      <c r="K58" s="3">
        <v>4</v>
      </c>
      <c r="L58" s="2">
        <v>16</v>
      </c>
      <c r="M58">
        <v>7.5</v>
      </c>
      <c r="N58">
        <v>4.5</v>
      </c>
      <c r="O58" s="19">
        <f t="shared" si="1"/>
        <v>1</v>
      </c>
      <c r="Q58" s="34"/>
      <c r="R58" s="1" t="s">
        <v>1463</v>
      </c>
      <c r="S58" s="35">
        <v>4</v>
      </c>
      <c r="T58" s="26"/>
      <c r="U58" s="35">
        <v>4</v>
      </c>
      <c r="V58" s="26"/>
      <c r="W58" s="35">
        <v>4</v>
      </c>
      <c r="X58" s="26"/>
    </row>
    <row r="59" spans="1:24" x14ac:dyDescent="0.25">
      <c r="A59" s="39"/>
      <c r="B59" s="41"/>
      <c r="C59" t="s">
        <v>789</v>
      </c>
      <c r="D59" t="s">
        <v>1492</v>
      </c>
      <c r="E59" s="3">
        <f t="shared" si="0"/>
        <v>4</v>
      </c>
      <c r="F59">
        <v>75.209999999999994</v>
      </c>
      <c r="G59" s="3">
        <v>4</v>
      </c>
      <c r="H59">
        <v>22.64</v>
      </c>
      <c r="I59">
        <v>14.14</v>
      </c>
      <c r="J59">
        <v>11.14</v>
      </c>
      <c r="K59" s="3">
        <v>4</v>
      </c>
      <c r="L59" s="2">
        <v>16</v>
      </c>
      <c r="M59">
        <v>7.5</v>
      </c>
      <c r="N59">
        <v>4.5</v>
      </c>
      <c r="O59" s="19">
        <f t="shared" si="1"/>
        <v>1</v>
      </c>
      <c r="Q59" s="32" t="s">
        <v>1</v>
      </c>
      <c r="R59" s="1" t="s">
        <v>1488</v>
      </c>
      <c r="S59" s="35">
        <v>2</v>
      </c>
      <c r="T59" s="36"/>
      <c r="U59" s="35">
        <v>4</v>
      </c>
      <c r="V59" s="26"/>
      <c r="W59" s="35">
        <v>4</v>
      </c>
      <c r="X59" s="26"/>
    </row>
    <row r="60" spans="1:24" x14ac:dyDescent="0.25">
      <c r="A60" s="39"/>
      <c r="B60" s="41"/>
      <c r="C60" t="s">
        <v>790</v>
      </c>
      <c r="D60" t="s">
        <v>1492</v>
      </c>
      <c r="E60" s="3">
        <f t="shared" si="0"/>
        <v>4</v>
      </c>
      <c r="F60">
        <v>75.209999999999994</v>
      </c>
      <c r="G60" s="3">
        <v>4</v>
      </c>
      <c r="H60">
        <v>22.64</v>
      </c>
      <c r="I60">
        <v>14.14</v>
      </c>
      <c r="J60">
        <v>11.14</v>
      </c>
      <c r="K60" s="3">
        <v>4</v>
      </c>
      <c r="L60" s="2">
        <v>16</v>
      </c>
      <c r="M60">
        <v>7.5</v>
      </c>
      <c r="N60">
        <v>4.5</v>
      </c>
      <c r="O60" s="19">
        <f t="shared" si="1"/>
        <v>1</v>
      </c>
      <c r="Q60" s="33"/>
      <c r="R60" s="1" t="s">
        <v>1512</v>
      </c>
      <c r="S60" s="35">
        <v>2</v>
      </c>
      <c r="T60" s="36"/>
      <c r="U60" s="35">
        <v>4</v>
      </c>
      <c r="V60" s="36"/>
      <c r="W60" s="35">
        <v>4</v>
      </c>
      <c r="X60" s="36"/>
    </row>
    <row r="61" spans="1:24" x14ac:dyDescent="0.25">
      <c r="A61" s="39"/>
      <c r="B61" s="42"/>
      <c r="C61" s="10" t="s">
        <v>791</v>
      </c>
      <c r="D61" s="10" t="s">
        <v>1492</v>
      </c>
      <c r="E61" s="11">
        <f t="shared" si="0"/>
        <v>4</v>
      </c>
      <c r="F61" s="10">
        <v>75.209999999999994</v>
      </c>
      <c r="G61" s="11">
        <v>4</v>
      </c>
      <c r="H61" s="10">
        <v>22.64</v>
      </c>
      <c r="I61" s="10">
        <v>14.14</v>
      </c>
      <c r="J61" s="10">
        <v>11.14</v>
      </c>
      <c r="K61" s="11">
        <v>4</v>
      </c>
      <c r="L61" s="12">
        <v>16</v>
      </c>
      <c r="M61" s="10">
        <v>7.5</v>
      </c>
      <c r="N61" s="10">
        <v>4.5</v>
      </c>
      <c r="O61" s="20">
        <f t="shared" si="1"/>
        <v>1</v>
      </c>
      <c r="Q61" s="34"/>
      <c r="R61" s="1" t="s">
        <v>1463</v>
      </c>
      <c r="S61" s="35">
        <v>4</v>
      </c>
      <c r="T61" s="36"/>
      <c r="U61" s="35">
        <v>4</v>
      </c>
      <c r="V61" s="36"/>
      <c r="W61" s="35">
        <v>4</v>
      </c>
      <c r="X61" s="36"/>
    </row>
    <row r="62" spans="1:24" x14ac:dyDescent="0.25">
      <c r="A62" s="39" t="s">
        <v>1</v>
      </c>
      <c r="B62" s="40" t="s">
        <v>4</v>
      </c>
      <c r="C62" s="7" t="s">
        <v>792</v>
      </c>
      <c r="D62" s="7" t="s">
        <v>812</v>
      </c>
      <c r="E62" s="8">
        <f t="shared" si="0"/>
        <v>2</v>
      </c>
      <c r="F62" s="7">
        <v>45.6</v>
      </c>
      <c r="G62" s="8">
        <v>4</v>
      </c>
      <c r="H62" s="7">
        <v>13.73</v>
      </c>
      <c r="I62" s="7">
        <v>5.23</v>
      </c>
      <c r="J62" s="7">
        <v>2.23</v>
      </c>
      <c r="K62" s="8">
        <v>2</v>
      </c>
      <c r="L62" s="9">
        <v>8</v>
      </c>
      <c r="M62" s="7">
        <v>-0.5</v>
      </c>
      <c r="N62" s="7">
        <v>-3.5</v>
      </c>
      <c r="O62" s="18">
        <f t="shared" si="1"/>
        <v>1</v>
      </c>
      <c r="Q62" s="32" t="s">
        <v>2</v>
      </c>
      <c r="R62" s="1" t="s">
        <v>1488</v>
      </c>
      <c r="S62" s="35">
        <v>2</v>
      </c>
      <c r="T62" s="36"/>
      <c r="U62" s="35">
        <v>4</v>
      </c>
      <c r="V62" s="26"/>
      <c r="W62" s="35">
        <v>4</v>
      </c>
      <c r="X62" s="26"/>
    </row>
    <row r="63" spans="1:24" x14ac:dyDescent="0.25">
      <c r="A63" s="39"/>
      <c r="B63" s="41"/>
      <c r="C63" t="s">
        <v>793</v>
      </c>
      <c r="D63" t="s">
        <v>812</v>
      </c>
      <c r="E63" s="3">
        <f t="shared" si="0"/>
        <v>2</v>
      </c>
      <c r="F63">
        <v>45.6</v>
      </c>
      <c r="G63" s="3">
        <v>4</v>
      </c>
      <c r="H63">
        <v>13.73</v>
      </c>
      <c r="I63">
        <v>5.23</v>
      </c>
      <c r="J63">
        <v>2.23</v>
      </c>
      <c r="K63" s="3">
        <v>2</v>
      </c>
      <c r="L63" s="2">
        <v>8</v>
      </c>
      <c r="M63">
        <v>-0.5</v>
      </c>
      <c r="N63">
        <v>-3.5</v>
      </c>
      <c r="O63" s="19">
        <f t="shared" si="1"/>
        <v>1</v>
      </c>
      <c r="Q63" s="33"/>
      <c r="R63" s="1" t="s">
        <v>1512</v>
      </c>
      <c r="S63" s="35">
        <v>2</v>
      </c>
      <c r="T63" s="36"/>
      <c r="U63" s="35">
        <v>4</v>
      </c>
      <c r="V63" s="26"/>
      <c r="W63" s="35">
        <v>4</v>
      </c>
      <c r="X63" s="26"/>
    </row>
    <row r="64" spans="1:24" x14ac:dyDescent="0.25">
      <c r="A64" s="39"/>
      <c r="B64" s="41"/>
      <c r="C64" t="s">
        <v>794</v>
      </c>
      <c r="D64" t="s">
        <v>812</v>
      </c>
      <c r="E64" s="3">
        <f t="shared" si="0"/>
        <v>2</v>
      </c>
      <c r="F64">
        <v>45.6</v>
      </c>
      <c r="G64" s="3">
        <v>4</v>
      </c>
      <c r="H64">
        <v>13.73</v>
      </c>
      <c r="I64">
        <v>5.23</v>
      </c>
      <c r="J64">
        <v>2.23</v>
      </c>
      <c r="K64" s="3">
        <v>2</v>
      </c>
      <c r="L64" s="2">
        <v>8</v>
      </c>
      <c r="M64">
        <v>-0.5</v>
      </c>
      <c r="N64">
        <v>-3.5</v>
      </c>
      <c r="O64" s="19">
        <f t="shared" si="1"/>
        <v>1</v>
      </c>
      <c r="Q64" s="34"/>
      <c r="R64" s="1" t="s">
        <v>1463</v>
      </c>
      <c r="S64" s="35">
        <v>4</v>
      </c>
      <c r="T64" s="36"/>
      <c r="U64" s="35">
        <v>4</v>
      </c>
      <c r="V64" s="26"/>
      <c r="W64" s="35">
        <v>4</v>
      </c>
      <c r="X64" s="26"/>
    </row>
    <row r="65" spans="1:24" x14ac:dyDescent="0.25">
      <c r="A65" s="39"/>
      <c r="B65" s="41"/>
      <c r="C65" t="s">
        <v>795</v>
      </c>
      <c r="D65" t="s">
        <v>812</v>
      </c>
      <c r="E65" s="3">
        <f t="shared" si="0"/>
        <v>2</v>
      </c>
      <c r="F65">
        <v>45.6</v>
      </c>
      <c r="G65" s="3">
        <v>4</v>
      </c>
      <c r="H65">
        <v>13.73</v>
      </c>
      <c r="I65">
        <v>5.23</v>
      </c>
      <c r="J65">
        <v>2.23</v>
      </c>
      <c r="K65" s="3">
        <v>2</v>
      </c>
      <c r="L65" s="2">
        <v>8</v>
      </c>
      <c r="M65">
        <v>-0.5</v>
      </c>
      <c r="N65">
        <v>-3.5</v>
      </c>
      <c r="O65" s="19">
        <f t="shared" si="1"/>
        <v>1</v>
      </c>
      <c r="Q65" s="32" t="s">
        <v>1491</v>
      </c>
      <c r="R65" s="1" t="s">
        <v>1488</v>
      </c>
      <c r="S65" s="35">
        <v>2</v>
      </c>
      <c r="T65" s="36"/>
      <c r="U65" s="35">
        <v>4</v>
      </c>
      <c r="V65" s="26"/>
      <c r="W65" s="35">
        <v>4</v>
      </c>
      <c r="X65" s="26"/>
    </row>
    <row r="66" spans="1:24" x14ac:dyDescent="0.25">
      <c r="A66" s="39"/>
      <c r="B66" s="41"/>
      <c r="C66" t="s">
        <v>796</v>
      </c>
      <c r="D66" t="s">
        <v>812</v>
      </c>
      <c r="E66" s="3">
        <f t="shared" si="0"/>
        <v>2</v>
      </c>
      <c r="F66">
        <v>45.6</v>
      </c>
      <c r="G66" s="3">
        <v>4</v>
      </c>
      <c r="H66">
        <v>13.73</v>
      </c>
      <c r="I66">
        <v>5.23</v>
      </c>
      <c r="J66">
        <v>2.23</v>
      </c>
      <c r="K66" s="3">
        <v>2</v>
      </c>
      <c r="L66" s="2">
        <v>8</v>
      </c>
      <c r="M66">
        <v>-0.5</v>
      </c>
      <c r="N66">
        <v>-3.5</v>
      </c>
      <c r="O66" s="19">
        <f t="shared" si="1"/>
        <v>1</v>
      </c>
      <c r="Q66" s="33"/>
      <c r="R66" s="1" t="s">
        <v>1512</v>
      </c>
      <c r="S66" s="35">
        <v>2</v>
      </c>
      <c r="T66" s="36"/>
      <c r="U66" s="35">
        <v>4</v>
      </c>
      <c r="V66" s="26"/>
      <c r="W66" s="35">
        <v>4</v>
      </c>
      <c r="X66" s="26"/>
    </row>
    <row r="67" spans="1:24" x14ac:dyDescent="0.25">
      <c r="A67" s="39"/>
      <c r="B67" s="41"/>
      <c r="C67" t="s">
        <v>797</v>
      </c>
      <c r="D67" t="s">
        <v>812</v>
      </c>
      <c r="E67" s="3">
        <f t="shared" ref="E67:E130" si="2">IF(D67="Muito Fraca", 0, IF(D67="Fraca", 1, IF(D67="Razoável", 2, IF(D67="Média", 3, 4))))</f>
        <v>2</v>
      </c>
      <c r="F67">
        <v>45.6</v>
      </c>
      <c r="G67" s="3">
        <v>4</v>
      </c>
      <c r="H67">
        <v>13.73</v>
      </c>
      <c r="I67">
        <v>5.23</v>
      </c>
      <c r="J67">
        <v>2.23</v>
      </c>
      <c r="K67" s="3">
        <v>2</v>
      </c>
      <c r="L67" s="2">
        <v>8</v>
      </c>
      <c r="M67">
        <v>-0.5</v>
      </c>
      <c r="N67">
        <v>-3.5</v>
      </c>
      <c r="O67" s="19">
        <f t="shared" ref="O67:O130" si="3">E67/K67</f>
        <v>1</v>
      </c>
      <c r="Q67" s="34"/>
      <c r="R67" s="1" t="s">
        <v>1463</v>
      </c>
      <c r="S67" s="35">
        <v>4</v>
      </c>
      <c r="T67" s="36"/>
      <c r="U67" s="35">
        <v>4</v>
      </c>
      <c r="V67" s="26"/>
      <c r="W67" s="35">
        <v>4</v>
      </c>
      <c r="X67" s="26"/>
    </row>
    <row r="68" spans="1:24" x14ac:dyDescent="0.25">
      <c r="A68" s="39"/>
      <c r="B68" s="41"/>
      <c r="C68" t="s">
        <v>798</v>
      </c>
      <c r="D68" t="s">
        <v>812</v>
      </c>
      <c r="E68" s="3">
        <f t="shared" si="2"/>
        <v>2</v>
      </c>
      <c r="F68">
        <v>45.6</v>
      </c>
      <c r="G68" s="3">
        <v>4</v>
      </c>
      <c r="H68">
        <v>13.73</v>
      </c>
      <c r="I68">
        <v>5.23</v>
      </c>
      <c r="J68">
        <v>2.23</v>
      </c>
      <c r="K68" s="3">
        <v>2</v>
      </c>
      <c r="L68" s="2">
        <v>8</v>
      </c>
      <c r="M68">
        <v>-0.5</v>
      </c>
      <c r="N68">
        <v>-3.5</v>
      </c>
      <c r="O68" s="19">
        <f t="shared" si="3"/>
        <v>1</v>
      </c>
    </row>
    <row r="69" spans="1:24" x14ac:dyDescent="0.25">
      <c r="A69" s="39"/>
      <c r="B69" s="41"/>
      <c r="C69" t="s">
        <v>799</v>
      </c>
      <c r="D69" t="s">
        <v>812</v>
      </c>
      <c r="E69" s="3">
        <f t="shared" si="2"/>
        <v>2</v>
      </c>
      <c r="F69">
        <v>45.6</v>
      </c>
      <c r="G69" s="3">
        <v>4</v>
      </c>
      <c r="H69">
        <v>13.73</v>
      </c>
      <c r="I69">
        <v>5.23</v>
      </c>
      <c r="J69">
        <v>2.23</v>
      </c>
      <c r="K69" s="3">
        <v>2</v>
      </c>
      <c r="L69" s="2">
        <v>8</v>
      </c>
      <c r="M69">
        <v>-0.5</v>
      </c>
      <c r="N69">
        <v>-3.5</v>
      </c>
      <c r="O69" s="19">
        <f t="shared" si="3"/>
        <v>1</v>
      </c>
      <c r="S69" s="30" t="s">
        <v>1460</v>
      </c>
      <c r="T69" s="30"/>
      <c r="U69" s="30" t="s">
        <v>1461</v>
      </c>
      <c r="V69" s="30"/>
      <c r="W69" s="30" t="s">
        <v>1462</v>
      </c>
      <c r="X69" s="30"/>
    </row>
    <row r="70" spans="1:24" ht="15" customHeight="1" x14ac:dyDescent="0.25">
      <c r="A70" s="39"/>
      <c r="B70" s="41"/>
      <c r="C70" t="s">
        <v>800</v>
      </c>
      <c r="D70" t="s">
        <v>812</v>
      </c>
      <c r="E70" s="3">
        <f t="shared" si="2"/>
        <v>2</v>
      </c>
      <c r="F70">
        <v>45.6</v>
      </c>
      <c r="G70" s="3">
        <v>4</v>
      </c>
      <c r="H70">
        <v>13.73</v>
      </c>
      <c r="I70">
        <v>5.23</v>
      </c>
      <c r="J70">
        <v>2.23</v>
      </c>
      <c r="K70" s="3">
        <v>2</v>
      </c>
      <c r="L70" s="2">
        <v>8</v>
      </c>
      <c r="M70">
        <v>-0.5</v>
      </c>
      <c r="N70">
        <v>-3.5</v>
      </c>
      <c r="O70" s="19">
        <f t="shared" si="3"/>
        <v>1</v>
      </c>
      <c r="Q70" s="31" t="s">
        <v>0</v>
      </c>
      <c r="R70" s="1" t="s">
        <v>1493</v>
      </c>
      <c r="S70" s="24">
        <f>AVERAGE(L$2:L$21)</f>
        <v>8</v>
      </c>
      <c r="T70" s="25"/>
      <c r="U70" s="24">
        <f>AVERAGE(L$22:L$41)</f>
        <v>11.830500000000001</v>
      </c>
      <c r="V70" s="25"/>
      <c r="W70" s="24">
        <f>AVERAGE(L$42:L$61)</f>
        <v>15.889999999999997</v>
      </c>
      <c r="X70" s="25"/>
    </row>
    <row r="71" spans="1:24" x14ac:dyDescent="0.25">
      <c r="A71" s="39"/>
      <c r="B71" s="41"/>
      <c r="C71" t="s">
        <v>801</v>
      </c>
      <c r="D71" t="s">
        <v>812</v>
      </c>
      <c r="E71" s="3">
        <f t="shared" si="2"/>
        <v>2</v>
      </c>
      <c r="F71">
        <v>45.6</v>
      </c>
      <c r="G71" s="3">
        <v>4</v>
      </c>
      <c r="H71">
        <v>13.73</v>
      </c>
      <c r="I71">
        <v>5.23</v>
      </c>
      <c r="J71">
        <v>2.23</v>
      </c>
      <c r="K71" s="3">
        <v>2</v>
      </c>
      <c r="L71" s="2">
        <v>8</v>
      </c>
      <c r="M71">
        <v>-0.5</v>
      </c>
      <c r="N71">
        <v>-3.5</v>
      </c>
      <c r="O71" s="19">
        <f t="shared" si="3"/>
        <v>1</v>
      </c>
      <c r="Q71" s="31"/>
      <c r="R71" s="1" t="s">
        <v>1467</v>
      </c>
      <c r="S71" s="24">
        <f>AVERAGE(M$2:M$21)</f>
        <v>-0.5</v>
      </c>
      <c r="T71" s="25"/>
      <c r="U71" s="24">
        <f>AVERAGE(M$22:M$41)</f>
        <v>3.3304999999999998</v>
      </c>
      <c r="V71" s="25"/>
      <c r="W71" s="24">
        <f>AVERAGE(M$42:M$61)</f>
        <v>7.3900000000000006</v>
      </c>
      <c r="X71" s="25"/>
    </row>
    <row r="72" spans="1:24" x14ac:dyDescent="0.25">
      <c r="A72" s="39"/>
      <c r="B72" s="41"/>
      <c r="C72" t="s">
        <v>802</v>
      </c>
      <c r="D72" t="s">
        <v>812</v>
      </c>
      <c r="E72" s="3">
        <f t="shared" si="2"/>
        <v>2</v>
      </c>
      <c r="F72">
        <v>45.6</v>
      </c>
      <c r="G72" s="3">
        <v>4</v>
      </c>
      <c r="H72">
        <v>13.73</v>
      </c>
      <c r="I72">
        <v>5.23</v>
      </c>
      <c r="J72">
        <v>2.23</v>
      </c>
      <c r="K72" s="3">
        <v>2</v>
      </c>
      <c r="L72" s="2">
        <v>8</v>
      </c>
      <c r="M72">
        <v>-0.5</v>
      </c>
      <c r="N72">
        <v>-3.5</v>
      </c>
      <c r="O72" s="19">
        <f t="shared" si="3"/>
        <v>1</v>
      </c>
      <c r="Q72" s="31"/>
      <c r="R72" s="1" t="s">
        <v>1468</v>
      </c>
      <c r="S72" s="24">
        <f>AVERAGE(N$2:N$21)</f>
        <v>-3.5</v>
      </c>
      <c r="T72" s="25"/>
      <c r="U72" s="24">
        <f>AVERAGE(N$22:N$41)</f>
        <v>0.33050000000000002</v>
      </c>
      <c r="V72" s="25"/>
      <c r="W72" s="24">
        <f>AVERAGE(N$42:N$61)</f>
        <v>4.3899999999999997</v>
      </c>
      <c r="X72" s="25"/>
    </row>
    <row r="73" spans="1:24" x14ac:dyDescent="0.25">
      <c r="A73" s="39"/>
      <c r="B73" s="41"/>
      <c r="C73" t="s">
        <v>803</v>
      </c>
      <c r="D73" t="s">
        <v>812</v>
      </c>
      <c r="E73" s="3">
        <f t="shared" si="2"/>
        <v>2</v>
      </c>
      <c r="F73">
        <v>45.6</v>
      </c>
      <c r="G73" s="3">
        <v>4</v>
      </c>
      <c r="H73">
        <v>13.73</v>
      </c>
      <c r="I73">
        <v>5.23</v>
      </c>
      <c r="J73">
        <v>2.23</v>
      </c>
      <c r="K73" s="3">
        <v>2</v>
      </c>
      <c r="L73" s="2">
        <v>8</v>
      </c>
      <c r="M73">
        <v>-0.5</v>
      </c>
      <c r="N73">
        <v>-3.5</v>
      </c>
      <c r="O73" s="19">
        <f t="shared" si="3"/>
        <v>1</v>
      </c>
      <c r="Q73" s="31"/>
      <c r="R73" s="1" t="s">
        <v>1464</v>
      </c>
      <c r="S73" s="24">
        <f>AVERAGE(H$2:H$21)</f>
        <v>11.319999999999997</v>
      </c>
      <c r="T73" s="26"/>
      <c r="U73" s="24">
        <f>AVERAGE(H$22:H$41)</f>
        <v>16.98</v>
      </c>
      <c r="V73" s="25"/>
      <c r="W73" s="24">
        <f>AVERAGE(H$42:H$61)</f>
        <v>22.639999999999993</v>
      </c>
      <c r="X73" s="25"/>
    </row>
    <row r="74" spans="1:24" x14ac:dyDescent="0.25">
      <c r="A74" s="39"/>
      <c r="B74" s="41"/>
      <c r="C74" t="s">
        <v>804</v>
      </c>
      <c r="D74" t="s">
        <v>812</v>
      </c>
      <c r="E74" s="3">
        <f t="shared" si="2"/>
        <v>2</v>
      </c>
      <c r="F74">
        <v>45.6</v>
      </c>
      <c r="G74" s="3">
        <v>4</v>
      </c>
      <c r="H74">
        <v>13.73</v>
      </c>
      <c r="I74">
        <v>5.23</v>
      </c>
      <c r="J74">
        <v>2.23</v>
      </c>
      <c r="K74" s="3">
        <v>2</v>
      </c>
      <c r="L74" s="2">
        <v>8</v>
      </c>
      <c r="M74">
        <v>-0.5</v>
      </c>
      <c r="N74">
        <v>-3.5</v>
      </c>
      <c r="O74" s="19">
        <f t="shared" si="3"/>
        <v>1</v>
      </c>
      <c r="Q74" s="31"/>
      <c r="R74" s="1" t="s">
        <v>1465</v>
      </c>
      <c r="S74" s="24">
        <f>AVERAGE(I$2:I$21)</f>
        <v>2.82</v>
      </c>
      <c r="T74" s="26"/>
      <c r="U74" s="24">
        <f>AVERAGE(I$22:I$41)</f>
        <v>8.48</v>
      </c>
      <c r="V74" s="25"/>
      <c r="W74" s="24">
        <f>AVERAGE(I$42:I$61)</f>
        <v>14.139999999999995</v>
      </c>
      <c r="X74" s="25"/>
    </row>
    <row r="75" spans="1:24" x14ac:dyDescent="0.25">
      <c r="A75" s="39"/>
      <c r="B75" s="41"/>
      <c r="C75" t="s">
        <v>805</v>
      </c>
      <c r="D75" t="s">
        <v>812</v>
      </c>
      <c r="E75" s="3">
        <f t="shared" si="2"/>
        <v>2</v>
      </c>
      <c r="F75">
        <v>45.6</v>
      </c>
      <c r="G75" s="3">
        <v>4</v>
      </c>
      <c r="H75">
        <v>13.73</v>
      </c>
      <c r="I75">
        <v>5.23</v>
      </c>
      <c r="J75">
        <v>2.23</v>
      </c>
      <c r="K75" s="3">
        <v>2</v>
      </c>
      <c r="L75" s="2">
        <v>8</v>
      </c>
      <c r="M75">
        <v>-0.5</v>
      </c>
      <c r="N75">
        <v>-3.5</v>
      </c>
      <c r="O75" s="19">
        <f t="shared" si="3"/>
        <v>1</v>
      </c>
      <c r="Q75" s="31"/>
      <c r="R75" s="1" t="s">
        <v>1466</v>
      </c>
      <c r="S75" s="24">
        <f>AVERAGE(J$2:J$21)</f>
        <v>-0.18000000000000005</v>
      </c>
      <c r="T75" s="26"/>
      <c r="U75" s="24">
        <f>AVERAGE(J$22:J$41)</f>
        <v>5.4800000000000022</v>
      </c>
      <c r="V75" s="25"/>
      <c r="W75" s="24">
        <f>AVERAGE(J$42:J$61)</f>
        <v>11.139999999999995</v>
      </c>
      <c r="X75" s="25"/>
    </row>
    <row r="76" spans="1:24" ht="15" customHeight="1" x14ac:dyDescent="0.25">
      <c r="A76" s="39"/>
      <c r="B76" s="41"/>
      <c r="C76" t="s">
        <v>806</v>
      </c>
      <c r="D76" t="s">
        <v>812</v>
      </c>
      <c r="E76" s="3">
        <f t="shared" si="2"/>
        <v>2</v>
      </c>
      <c r="F76">
        <v>45.6</v>
      </c>
      <c r="G76" s="3">
        <v>4</v>
      </c>
      <c r="H76">
        <v>13.73</v>
      </c>
      <c r="I76">
        <v>5.23</v>
      </c>
      <c r="J76">
        <v>2.23</v>
      </c>
      <c r="K76" s="3">
        <v>2</v>
      </c>
      <c r="L76" s="2">
        <v>8</v>
      </c>
      <c r="M76">
        <v>-0.5</v>
      </c>
      <c r="N76">
        <v>-3.5</v>
      </c>
      <c r="O76" s="19">
        <f t="shared" si="3"/>
        <v>1</v>
      </c>
      <c r="Q76" s="29" t="s">
        <v>1</v>
      </c>
      <c r="R76" s="1" t="s">
        <v>1493</v>
      </c>
      <c r="S76" s="24">
        <f>AVERAGE(L$62:L$81)</f>
        <v>7.95</v>
      </c>
      <c r="T76" s="25"/>
      <c r="U76" s="24">
        <f>AVERAGE(L$82:L$101)</f>
        <v>12</v>
      </c>
      <c r="V76" s="25"/>
      <c r="W76" s="24">
        <f>AVERAGE(L$102:L$121)</f>
        <v>15.9255</v>
      </c>
      <c r="X76" s="25"/>
    </row>
    <row r="77" spans="1:24" x14ac:dyDescent="0.25">
      <c r="A77" s="39"/>
      <c r="B77" s="41"/>
      <c r="C77" t="s">
        <v>807</v>
      </c>
      <c r="D77" t="s">
        <v>812</v>
      </c>
      <c r="E77" s="3">
        <f t="shared" si="2"/>
        <v>2</v>
      </c>
      <c r="F77">
        <v>45.6</v>
      </c>
      <c r="G77" s="3">
        <v>4</v>
      </c>
      <c r="H77">
        <v>13.73</v>
      </c>
      <c r="I77">
        <v>5.23</v>
      </c>
      <c r="J77">
        <v>2.23</v>
      </c>
      <c r="K77" s="3">
        <v>2</v>
      </c>
      <c r="L77" s="2">
        <v>8</v>
      </c>
      <c r="M77">
        <v>-0.5</v>
      </c>
      <c r="N77">
        <v>-3.5</v>
      </c>
      <c r="O77" s="19">
        <f t="shared" si="3"/>
        <v>1</v>
      </c>
      <c r="Q77" s="29"/>
      <c r="R77" s="1" t="s">
        <v>1467</v>
      </c>
      <c r="S77" s="24">
        <f>AVERAGE(M$62:M$81)</f>
        <v>-0.55000000000000004</v>
      </c>
      <c r="T77" s="25"/>
      <c r="U77" s="24">
        <f>AVERAGE(M$82:M$101)</f>
        <v>3.5</v>
      </c>
      <c r="V77" s="25"/>
      <c r="W77" s="24">
        <f>AVERAGE(M$102:M$121)</f>
        <v>7.4254999999999995</v>
      </c>
      <c r="X77" s="25"/>
    </row>
    <row r="78" spans="1:24" x14ac:dyDescent="0.25">
      <c r="A78" s="39"/>
      <c r="B78" s="41"/>
      <c r="C78" t="s">
        <v>808</v>
      </c>
      <c r="D78" t="s">
        <v>812</v>
      </c>
      <c r="E78" s="3">
        <f t="shared" si="2"/>
        <v>2</v>
      </c>
      <c r="F78">
        <v>45.6</v>
      </c>
      <c r="G78" s="3">
        <v>4</v>
      </c>
      <c r="H78">
        <v>13.73</v>
      </c>
      <c r="I78">
        <v>5.23</v>
      </c>
      <c r="J78">
        <v>2.23</v>
      </c>
      <c r="K78" s="3">
        <v>2</v>
      </c>
      <c r="L78" s="2">
        <v>8</v>
      </c>
      <c r="M78">
        <v>-0.5</v>
      </c>
      <c r="N78">
        <v>-3.5</v>
      </c>
      <c r="O78" s="19">
        <f t="shared" si="3"/>
        <v>1</v>
      </c>
      <c r="Q78" s="29"/>
      <c r="R78" s="1" t="s">
        <v>1468</v>
      </c>
      <c r="S78" s="24">
        <f>AVERAGE(N$62:N$81)</f>
        <v>-3.55</v>
      </c>
      <c r="T78" s="25"/>
      <c r="U78" s="24">
        <f>AVERAGE(N$82:N$101)</f>
        <v>0.5</v>
      </c>
      <c r="V78" s="25"/>
      <c r="W78" s="24">
        <f>AVERAGE(N$102:N$121)</f>
        <v>4.4255000000000004</v>
      </c>
      <c r="X78" s="25"/>
    </row>
    <row r="79" spans="1:24" x14ac:dyDescent="0.25">
      <c r="A79" s="39"/>
      <c r="B79" s="41"/>
      <c r="C79" t="s">
        <v>809</v>
      </c>
      <c r="D79" t="s">
        <v>812</v>
      </c>
      <c r="E79" s="3">
        <f t="shared" si="2"/>
        <v>2</v>
      </c>
      <c r="F79">
        <v>45.6</v>
      </c>
      <c r="G79" s="3">
        <v>4</v>
      </c>
      <c r="H79">
        <v>13.73</v>
      </c>
      <c r="I79">
        <v>5.23</v>
      </c>
      <c r="J79">
        <v>2.23</v>
      </c>
      <c r="K79" s="3">
        <v>2</v>
      </c>
      <c r="L79" s="2">
        <v>8</v>
      </c>
      <c r="M79">
        <v>-0.5</v>
      </c>
      <c r="N79">
        <v>-3.5</v>
      </c>
      <c r="O79" s="19">
        <f t="shared" si="3"/>
        <v>1</v>
      </c>
      <c r="Q79" s="29"/>
      <c r="R79" s="1" t="s">
        <v>1464</v>
      </c>
      <c r="S79" s="24">
        <f>AVERAGE(H$62:H$81)</f>
        <v>13.729999999999999</v>
      </c>
      <c r="T79" s="25"/>
      <c r="U79" s="24">
        <f>AVERAGE(H$82:H$101)</f>
        <v>20.589999999999993</v>
      </c>
      <c r="V79" s="25"/>
      <c r="W79" s="24">
        <f>AVERAGE(H$102:H$121)</f>
        <v>27.459999999999997</v>
      </c>
      <c r="X79" s="25"/>
    </row>
    <row r="80" spans="1:24" x14ac:dyDescent="0.25">
      <c r="A80" s="39"/>
      <c r="B80" s="41"/>
      <c r="C80" t="s">
        <v>810</v>
      </c>
      <c r="D80" t="s">
        <v>812</v>
      </c>
      <c r="E80" s="3">
        <f t="shared" si="2"/>
        <v>2</v>
      </c>
      <c r="F80">
        <v>45.6</v>
      </c>
      <c r="G80" s="3">
        <v>4</v>
      </c>
      <c r="H80">
        <v>13.73</v>
      </c>
      <c r="I80">
        <v>5.23</v>
      </c>
      <c r="J80">
        <v>2.23</v>
      </c>
      <c r="K80" s="3">
        <v>2</v>
      </c>
      <c r="L80" s="2">
        <v>7</v>
      </c>
      <c r="M80">
        <v>-1.5</v>
      </c>
      <c r="N80">
        <v>-4.5</v>
      </c>
      <c r="O80" s="19">
        <f t="shared" si="3"/>
        <v>1</v>
      </c>
      <c r="Q80" s="29"/>
      <c r="R80" s="1" t="s">
        <v>1465</v>
      </c>
      <c r="S80" s="24">
        <f>AVERAGE(I$62:I$81)</f>
        <v>5.2300000000000022</v>
      </c>
      <c r="T80" s="25"/>
      <c r="U80" s="24">
        <f>AVERAGE(I$82:I$101)</f>
        <v>12.090000000000002</v>
      </c>
      <c r="V80" s="25"/>
      <c r="W80" s="24">
        <f>AVERAGE(I$102:I$121)</f>
        <v>18.959999999999997</v>
      </c>
      <c r="X80" s="25"/>
    </row>
    <row r="81" spans="1:24" x14ac:dyDescent="0.25">
      <c r="A81" s="39"/>
      <c r="B81" s="42"/>
      <c r="C81" s="10" t="s">
        <v>811</v>
      </c>
      <c r="D81" s="10" t="s">
        <v>812</v>
      </c>
      <c r="E81" s="11">
        <f t="shared" si="2"/>
        <v>2</v>
      </c>
      <c r="F81" s="10">
        <v>45.6</v>
      </c>
      <c r="G81" s="11">
        <v>4</v>
      </c>
      <c r="H81" s="10">
        <v>13.73</v>
      </c>
      <c r="I81" s="10">
        <v>5.23</v>
      </c>
      <c r="J81" s="10">
        <v>2.23</v>
      </c>
      <c r="K81" s="11">
        <v>2</v>
      </c>
      <c r="L81" s="12">
        <v>8</v>
      </c>
      <c r="M81" s="10">
        <v>-0.5</v>
      </c>
      <c r="N81" s="10">
        <v>-3.5</v>
      </c>
      <c r="O81" s="20">
        <f t="shared" si="3"/>
        <v>1</v>
      </c>
      <c r="Q81" s="29"/>
      <c r="R81" s="1" t="s">
        <v>1466</v>
      </c>
      <c r="S81" s="24">
        <f>AVERAGE(J$62:J$81)</f>
        <v>2.2299999999999995</v>
      </c>
      <c r="T81" s="25"/>
      <c r="U81" s="24">
        <f>AVERAGE(J$82:J$101)</f>
        <v>9.0900000000000016</v>
      </c>
      <c r="V81" s="25"/>
      <c r="W81" s="24">
        <f>AVERAGE(J$102:J$121)</f>
        <v>15.960000000000003</v>
      </c>
      <c r="X81" s="25"/>
    </row>
    <row r="82" spans="1:24" ht="15" customHeight="1" x14ac:dyDescent="0.25">
      <c r="A82" s="39"/>
      <c r="B82" s="40" t="s">
        <v>6</v>
      </c>
      <c r="C82" s="7" t="s">
        <v>813</v>
      </c>
      <c r="D82" s="7" t="s">
        <v>1492</v>
      </c>
      <c r="E82" s="8">
        <f t="shared" si="2"/>
        <v>4</v>
      </c>
      <c r="F82" s="7">
        <v>68.41</v>
      </c>
      <c r="G82" s="8">
        <v>4</v>
      </c>
      <c r="H82" s="7">
        <v>20.59</v>
      </c>
      <c r="I82" s="7">
        <v>12.09</v>
      </c>
      <c r="J82" s="7">
        <v>9.09</v>
      </c>
      <c r="K82" s="8">
        <v>4</v>
      </c>
      <c r="L82" s="9">
        <v>12</v>
      </c>
      <c r="M82" s="7">
        <v>3.5</v>
      </c>
      <c r="N82" s="7">
        <v>0.5</v>
      </c>
      <c r="O82" s="18">
        <f t="shared" si="3"/>
        <v>1</v>
      </c>
      <c r="Q82" s="28" t="s">
        <v>2</v>
      </c>
      <c r="R82" s="1" t="s">
        <v>1493</v>
      </c>
      <c r="S82" s="24">
        <f>AVERAGE(L$122:L$141)</f>
        <v>8</v>
      </c>
      <c r="T82" s="25"/>
      <c r="U82" s="24">
        <f>AVERAGE(L$142:L$161)</f>
        <v>11.962</v>
      </c>
      <c r="V82" s="25"/>
      <c r="W82" s="24">
        <f>AVERAGE(L$162:L$181)</f>
        <v>15.95</v>
      </c>
      <c r="X82" s="25"/>
    </row>
    <row r="83" spans="1:24" x14ac:dyDescent="0.25">
      <c r="A83" s="39"/>
      <c r="B83" s="41"/>
      <c r="C83" t="s">
        <v>814</v>
      </c>
      <c r="D83" t="s">
        <v>1492</v>
      </c>
      <c r="E83" s="3">
        <f t="shared" si="2"/>
        <v>4</v>
      </c>
      <c r="F83">
        <v>68.41</v>
      </c>
      <c r="G83" s="3">
        <v>4</v>
      </c>
      <c r="H83">
        <v>20.59</v>
      </c>
      <c r="I83">
        <v>12.09</v>
      </c>
      <c r="J83">
        <v>9.09</v>
      </c>
      <c r="K83" s="3">
        <v>4</v>
      </c>
      <c r="L83" s="2">
        <v>12</v>
      </c>
      <c r="M83">
        <v>3.5</v>
      </c>
      <c r="N83">
        <v>0.5</v>
      </c>
      <c r="O83" s="19">
        <f t="shared" si="3"/>
        <v>1</v>
      </c>
      <c r="Q83" s="28"/>
      <c r="R83" s="1" t="s">
        <v>1467</v>
      </c>
      <c r="S83" s="24">
        <f>AVERAGE(M$122:M$141)</f>
        <v>-0.5</v>
      </c>
      <c r="T83" s="25"/>
      <c r="U83" s="24">
        <f>AVERAGE(M$142:M$161)</f>
        <v>3.4624999999999999</v>
      </c>
      <c r="V83" s="25"/>
      <c r="W83" s="24">
        <f>AVERAGE(M$162:M$181)</f>
        <v>7.45</v>
      </c>
      <c r="X83" s="25"/>
    </row>
    <row r="84" spans="1:24" x14ac:dyDescent="0.25">
      <c r="A84" s="39"/>
      <c r="B84" s="41"/>
      <c r="C84" t="s">
        <v>815</v>
      </c>
      <c r="D84" t="s">
        <v>1492</v>
      </c>
      <c r="E84" s="3">
        <f t="shared" si="2"/>
        <v>4</v>
      </c>
      <c r="F84">
        <v>68.41</v>
      </c>
      <c r="G84" s="3">
        <v>4</v>
      </c>
      <c r="H84">
        <v>20.59</v>
      </c>
      <c r="I84">
        <v>12.09</v>
      </c>
      <c r="J84">
        <v>9.09</v>
      </c>
      <c r="K84" s="3">
        <v>4</v>
      </c>
      <c r="L84" s="2">
        <v>12</v>
      </c>
      <c r="M84">
        <v>3.5</v>
      </c>
      <c r="N84">
        <v>0.5</v>
      </c>
      <c r="O84" s="19">
        <f t="shared" si="3"/>
        <v>1</v>
      </c>
      <c r="Q84" s="28"/>
      <c r="R84" s="1" t="s">
        <v>1468</v>
      </c>
      <c r="S84" s="24">
        <f>AVERAGE(N$122:N$141)</f>
        <v>-3.5</v>
      </c>
      <c r="T84" s="25"/>
      <c r="U84" s="24">
        <f>AVERAGE(N$142:N$161)</f>
        <v>0.46250000000000002</v>
      </c>
      <c r="V84" s="25"/>
      <c r="W84" s="24">
        <f>AVERAGE(N$162:N$181)</f>
        <v>4.45</v>
      </c>
      <c r="X84" s="25"/>
    </row>
    <row r="85" spans="1:24" x14ac:dyDescent="0.25">
      <c r="A85" s="39"/>
      <c r="B85" s="41"/>
      <c r="C85" t="s">
        <v>816</v>
      </c>
      <c r="D85" t="s">
        <v>1492</v>
      </c>
      <c r="E85" s="3">
        <f t="shared" si="2"/>
        <v>4</v>
      </c>
      <c r="F85">
        <v>68.41</v>
      </c>
      <c r="G85" s="3">
        <v>4</v>
      </c>
      <c r="H85">
        <v>20.59</v>
      </c>
      <c r="I85">
        <v>12.09</v>
      </c>
      <c r="J85">
        <v>9.09</v>
      </c>
      <c r="K85" s="3">
        <v>4</v>
      </c>
      <c r="L85" s="2">
        <v>12</v>
      </c>
      <c r="M85">
        <v>3.5</v>
      </c>
      <c r="N85">
        <v>0.5</v>
      </c>
      <c r="O85" s="19">
        <f t="shared" si="3"/>
        <v>1</v>
      </c>
      <c r="Q85" s="28"/>
      <c r="R85" s="1" t="s">
        <v>1464</v>
      </c>
      <c r="S85" s="24">
        <f>AVERAGE(H$122:H$141)</f>
        <v>14.864999999999995</v>
      </c>
      <c r="T85" s="25"/>
      <c r="U85" s="24">
        <f>AVERAGE(H$142:H$161)</f>
        <v>22.299999999999997</v>
      </c>
      <c r="V85" s="25"/>
      <c r="W85" s="24">
        <f>AVERAGE(H$162:H$181)</f>
        <v>29.638499999999993</v>
      </c>
      <c r="X85" s="25"/>
    </row>
    <row r="86" spans="1:24" x14ac:dyDescent="0.25">
      <c r="A86" s="39"/>
      <c r="B86" s="41"/>
      <c r="C86" t="s">
        <v>817</v>
      </c>
      <c r="D86" t="s">
        <v>1492</v>
      </c>
      <c r="E86" s="3">
        <f t="shared" si="2"/>
        <v>4</v>
      </c>
      <c r="F86">
        <v>68.41</v>
      </c>
      <c r="G86" s="3">
        <v>4</v>
      </c>
      <c r="H86">
        <v>20.59</v>
      </c>
      <c r="I86">
        <v>12.09</v>
      </c>
      <c r="J86">
        <v>9.09</v>
      </c>
      <c r="K86" s="3">
        <v>4</v>
      </c>
      <c r="L86" s="2">
        <v>12</v>
      </c>
      <c r="M86">
        <v>3.5</v>
      </c>
      <c r="N86">
        <v>0.5</v>
      </c>
      <c r="O86" s="19">
        <f t="shared" si="3"/>
        <v>1</v>
      </c>
      <c r="Q86" s="28"/>
      <c r="R86" s="1" t="s">
        <v>1465</v>
      </c>
      <c r="S86" s="24">
        <f>AVERAGE(I$122:I$141)</f>
        <v>6.3700000000000028</v>
      </c>
      <c r="T86" s="25"/>
      <c r="U86" s="24">
        <f>AVERAGE(I$142:I$161)</f>
        <v>13.799999999999997</v>
      </c>
      <c r="V86" s="25"/>
      <c r="W86" s="24">
        <f>AVERAGE(I$162:I$181)</f>
        <v>21.138999999999999</v>
      </c>
      <c r="X86" s="25"/>
    </row>
    <row r="87" spans="1:24" x14ac:dyDescent="0.25">
      <c r="A87" s="39"/>
      <c r="B87" s="41"/>
      <c r="C87" t="s">
        <v>818</v>
      </c>
      <c r="D87" t="s">
        <v>1492</v>
      </c>
      <c r="E87" s="3">
        <f t="shared" si="2"/>
        <v>4</v>
      </c>
      <c r="F87">
        <v>68.41</v>
      </c>
      <c r="G87" s="3">
        <v>4</v>
      </c>
      <c r="H87">
        <v>20.59</v>
      </c>
      <c r="I87">
        <v>12.09</v>
      </c>
      <c r="J87">
        <v>9.09</v>
      </c>
      <c r="K87" s="3">
        <v>4</v>
      </c>
      <c r="L87" s="2">
        <v>12</v>
      </c>
      <c r="M87">
        <v>3.5</v>
      </c>
      <c r="N87">
        <v>0.5</v>
      </c>
      <c r="O87" s="19">
        <f t="shared" si="3"/>
        <v>1</v>
      </c>
      <c r="Q87" s="28"/>
      <c r="R87" s="1" t="s">
        <v>1466</v>
      </c>
      <c r="S87" s="24">
        <f>AVERAGE(J$122:J$141)</f>
        <v>3.3699999999999997</v>
      </c>
      <c r="T87" s="25"/>
      <c r="U87" s="24">
        <f>AVERAGE(J$142:J$161)</f>
        <v>10.799999999999997</v>
      </c>
      <c r="V87" s="25"/>
      <c r="W87" s="24">
        <f>AVERAGE(J$162:J$181)</f>
        <v>18.139000000000003</v>
      </c>
      <c r="X87" s="25"/>
    </row>
    <row r="88" spans="1:24" ht="15" customHeight="1" x14ac:dyDescent="0.25">
      <c r="A88" s="39"/>
      <c r="B88" s="41"/>
      <c r="C88" t="s">
        <v>819</v>
      </c>
      <c r="D88" t="s">
        <v>1492</v>
      </c>
      <c r="E88" s="3">
        <f t="shared" si="2"/>
        <v>4</v>
      </c>
      <c r="F88">
        <v>68.41</v>
      </c>
      <c r="G88" s="3">
        <v>4</v>
      </c>
      <c r="H88">
        <v>20.59</v>
      </c>
      <c r="I88">
        <v>12.09</v>
      </c>
      <c r="J88">
        <v>9.09</v>
      </c>
      <c r="K88" s="3">
        <v>4</v>
      </c>
      <c r="L88" s="2">
        <v>12</v>
      </c>
      <c r="M88">
        <v>3.5</v>
      </c>
      <c r="N88">
        <v>0.5</v>
      </c>
      <c r="O88" s="19">
        <f t="shared" si="3"/>
        <v>1</v>
      </c>
      <c r="Q88" s="27" t="s">
        <v>1491</v>
      </c>
      <c r="R88" s="1" t="s">
        <v>1493</v>
      </c>
      <c r="S88" s="24">
        <f>AVERAGE(L$182:L$201)</f>
        <v>7.9209999999999994</v>
      </c>
      <c r="T88" s="25"/>
      <c r="U88" s="24">
        <f>AVERAGE(L$202:L$221)</f>
        <v>11.908999999999999</v>
      </c>
      <c r="V88" s="25"/>
      <c r="W88" s="24">
        <f>AVERAGE(L$222:L$241)</f>
        <v>16</v>
      </c>
      <c r="X88" s="25"/>
    </row>
    <row r="89" spans="1:24" x14ac:dyDescent="0.25">
      <c r="A89" s="39"/>
      <c r="B89" s="41"/>
      <c r="C89" t="s">
        <v>820</v>
      </c>
      <c r="D89" t="s">
        <v>1492</v>
      </c>
      <c r="E89" s="3">
        <f t="shared" si="2"/>
        <v>4</v>
      </c>
      <c r="F89">
        <v>68.41</v>
      </c>
      <c r="G89" s="3">
        <v>4</v>
      </c>
      <c r="H89">
        <v>20.59</v>
      </c>
      <c r="I89">
        <v>12.09</v>
      </c>
      <c r="J89">
        <v>9.09</v>
      </c>
      <c r="K89" s="3">
        <v>4</v>
      </c>
      <c r="L89" s="2">
        <v>12</v>
      </c>
      <c r="M89">
        <v>3.5</v>
      </c>
      <c r="N89">
        <v>0.5</v>
      </c>
      <c r="O89" s="19">
        <f t="shared" si="3"/>
        <v>1</v>
      </c>
      <c r="Q89" s="27"/>
      <c r="R89" s="1" t="s">
        <v>1467</v>
      </c>
      <c r="S89" s="24">
        <f>AVERAGE(M$182:M$201)</f>
        <v>-0.57899999999999996</v>
      </c>
      <c r="T89" s="25"/>
      <c r="U89" s="24">
        <f>AVERAGE(M$202:M$221)</f>
        <v>3.4095</v>
      </c>
      <c r="V89" s="25"/>
      <c r="W89" s="24">
        <f>AVERAGE(M$222:M$241)</f>
        <v>7.5</v>
      </c>
      <c r="X89" s="25"/>
    </row>
    <row r="90" spans="1:24" x14ac:dyDescent="0.25">
      <c r="A90" s="39"/>
      <c r="B90" s="41"/>
      <c r="C90" t="s">
        <v>821</v>
      </c>
      <c r="D90" t="s">
        <v>1492</v>
      </c>
      <c r="E90" s="3">
        <f t="shared" si="2"/>
        <v>4</v>
      </c>
      <c r="F90">
        <v>68.41</v>
      </c>
      <c r="G90" s="3">
        <v>4</v>
      </c>
      <c r="H90">
        <v>20.59</v>
      </c>
      <c r="I90">
        <v>12.09</v>
      </c>
      <c r="J90">
        <v>9.09</v>
      </c>
      <c r="K90" s="3">
        <v>4</v>
      </c>
      <c r="L90" s="2">
        <v>12</v>
      </c>
      <c r="M90">
        <v>3.5</v>
      </c>
      <c r="N90">
        <v>0.5</v>
      </c>
      <c r="O90" s="19">
        <f t="shared" si="3"/>
        <v>1</v>
      </c>
      <c r="Q90" s="27"/>
      <c r="R90" s="1" t="s">
        <v>1468</v>
      </c>
      <c r="S90" s="24">
        <f>AVERAGE(N$182:N$201)</f>
        <v>-3.5789999999999997</v>
      </c>
      <c r="T90" s="25"/>
      <c r="U90" s="24">
        <f>AVERAGE(N$202:N$221)</f>
        <v>0.40950000000000009</v>
      </c>
      <c r="V90" s="25"/>
      <c r="W90" s="24">
        <f>AVERAGE(N$222:N$241)</f>
        <v>4.5</v>
      </c>
      <c r="X90" s="25"/>
    </row>
    <row r="91" spans="1:24" x14ac:dyDescent="0.25">
      <c r="A91" s="39"/>
      <c r="B91" s="41"/>
      <c r="C91" t="s">
        <v>822</v>
      </c>
      <c r="D91" t="s">
        <v>1492</v>
      </c>
      <c r="E91" s="3">
        <f t="shared" si="2"/>
        <v>4</v>
      </c>
      <c r="F91">
        <v>68.41</v>
      </c>
      <c r="G91" s="3">
        <v>4</v>
      </c>
      <c r="H91">
        <v>20.59</v>
      </c>
      <c r="I91">
        <v>12.09</v>
      </c>
      <c r="J91">
        <v>9.09</v>
      </c>
      <c r="K91" s="3">
        <v>4</v>
      </c>
      <c r="L91" s="2">
        <v>12</v>
      </c>
      <c r="M91">
        <v>3.5</v>
      </c>
      <c r="N91">
        <v>0.5</v>
      </c>
      <c r="O91" s="19">
        <f t="shared" si="3"/>
        <v>1</v>
      </c>
      <c r="Q91" s="27"/>
      <c r="R91" s="1" t="s">
        <v>1464</v>
      </c>
      <c r="S91" s="24">
        <f>AVERAGE(H$182:H$201)</f>
        <v>15.690999999999999</v>
      </c>
      <c r="T91" s="25"/>
      <c r="U91" s="24">
        <f>AVERAGE(H$202:H$221)</f>
        <v>23.581000000000003</v>
      </c>
      <c r="V91" s="25"/>
      <c r="W91" s="24">
        <f>AVERAGE(H$222:H$241)</f>
        <v>31.570000000000004</v>
      </c>
      <c r="X91" s="25"/>
    </row>
    <row r="92" spans="1:24" x14ac:dyDescent="0.25">
      <c r="A92" s="39"/>
      <c r="B92" s="41"/>
      <c r="C92" t="s">
        <v>823</v>
      </c>
      <c r="D92" t="s">
        <v>1492</v>
      </c>
      <c r="E92" s="3">
        <f t="shared" si="2"/>
        <v>4</v>
      </c>
      <c r="F92">
        <v>68.41</v>
      </c>
      <c r="G92" s="3">
        <v>4</v>
      </c>
      <c r="H92">
        <v>20.59</v>
      </c>
      <c r="I92">
        <v>12.09</v>
      </c>
      <c r="J92">
        <v>9.09</v>
      </c>
      <c r="K92" s="3">
        <v>4</v>
      </c>
      <c r="L92" s="2">
        <v>12</v>
      </c>
      <c r="M92">
        <v>3.5</v>
      </c>
      <c r="N92">
        <v>0.5</v>
      </c>
      <c r="O92" s="19">
        <f t="shared" si="3"/>
        <v>1</v>
      </c>
      <c r="Q92" s="27"/>
      <c r="R92" s="1" t="s">
        <v>1465</v>
      </c>
      <c r="S92" s="24">
        <f>AVERAGE(I$182:I$201)</f>
        <v>7.1910000000000007</v>
      </c>
      <c r="T92" s="25"/>
      <c r="U92" s="24">
        <f>AVERAGE(I$202:I$221)</f>
        <v>15.081500000000005</v>
      </c>
      <c r="V92" s="25"/>
      <c r="W92" s="24">
        <f>AVERAGE(I$222:I$241)</f>
        <v>23.069999999999997</v>
      </c>
      <c r="X92" s="25"/>
    </row>
    <row r="93" spans="1:24" x14ac:dyDescent="0.25">
      <c r="A93" s="39"/>
      <c r="B93" s="41"/>
      <c r="C93" t="s">
        <v>824</v>
      </c>
      <c r="D93" t="s">
        <v>1492</v>
      </c>
      <c r="E93" s="3">
        <f t="shared" si="2"/>
        <v>4</v>
      </c>
      <c r="F93">
        <v>68.41</v>
      </c>
      <c r="G93" s="3">
        <v>4</v>
      </c>
      <c r="H93">
        <v>20.59</v>
      </c>
      <c r="I93">
        <v>12.09</v>
      </c>
      <c r="J93">
        <v>9.09</v>
      </c>
      <c r="K93" s="3">
        <v>4</v>
      </c>
      <c r="L93" s="2">
        <v>12</v>
      </c>
      <c r="M93">
        <v>3.5</v>
      </c>
      <c r="N93">
        <v>0.5</v>
      </c>
      <c r="O93" s="19">
        <f t="shared" si="3"/>
        <v>1</v>
      </c>
      <c r="Q93" s="27"/>
      <c r="R93" s="1" t="s">
        <v>1466</v>
      </c>
      <c r="S93" s="24">
        <f>AVERAGE(J$182:J$201)</f>
        <v>4.1910000000000007</v>
      </c>
      <c r="T93" s="25"/>
      <c r="U93" s="24">
        <f>AVERAGE(J$202:J$221)</f>
        <v>12.081500000000004</v>
      </c>
      <c r="V93" s="25"/>
      <c r="W93" s="24">
        <f>AVERAGE(J$222:J$241)</f>
        <v>20.069999999999997</v>
      </c>
      <c r="X93" s="25"/>
    </row>
    <row r="94" spans="1:24" x14ac:dyDescent="0.25">
      <c r="A94" s="39"/>
      <c r="B94" s="41"/>
      <c r="C94" t="s">
        <v>825</v>
      </c>
      <c r="D94" t="s">
        <v>1492</v>
      </c>
      <c r="E94" s="3">
        <f t="shared" si="2"/>
        <v>4</v>
      </c>
      <c r="F94">
        <v>68.41</v>
      </c>
      <c r="G94" s="3">
        <v>4</v>
      </c>
      <c r="H94">
        <v>20.59</v>
      </c>
      <c r="I94">
        <v>12.09</v>
      </c>
      <c r="J94">
        <v>9.09</v>
      </c>
      <c r="K94" s="3">
        <v>4</v>
      </c>
      <c r="L94" s="2">
        <v>12</v>
      </c>
      <c r="M94">
        <v>3.5</v>
      </c>
      <c r="N94">
        <v>0.5</v>
      </c>
      <c r="O94" s="19">
        <f t="shared" si="3"/>
        <v>1</v>
      </c>
    </row>
    <row r="95" spans="1:24" x14ac:dyDescent="0.25">
      <c r="A95" s="39"/>
      <c r="B95" s="41"/>
      <c r="C95" t="s">
        <v>826</v>
      </c>
      <c r="D95" t="s">
        <v>1492</v>
      </c>
      <c r="E95" s="3">
        <f t="shared" si="2"/>
        <v>4</v>
      </c>
      <c r="F95">
        <v>68.41</v>
      </c>
      <c r="G95" s="3">
        <v>4</v>
      </c>
      <c r="H95">
        <v>20.59</v>
      </c>
      <c r="I95">
        <v>12.09</v>
      </c>
      <c r="J95">
        <v>9.09</v>
      </c>
      <c r="K95" s="3">
        <v>4</v>
      </c>
      <c r="L95" s="2">
        <v>12</v>
      </c>
      <c r="M95">
        <v>3.5</v>
      </c>
      <c r="N95">
        <v>0.5</v>
      </c>
      <c r="O95" s="19">
        <f t="shared" si="3"/>
        <v>1</v>
      </c>
      <c r="R95" s="1"/>
      <c r="S95" s="30" t="s">
        <v>1460</v>
      </c>
      <c r="T95" s="30"/>
      <c r="U95" s="30" t="s">
        <v>1461</v>
      </c>
      <c r="V95" s="30"/>
      <c r="W95" s="30" t="s">
        <v>1462</v>
      </c>
      <c r="X95" s="30"/>
    </row>
    <row r="96" spans="1:24" x14ac:dyDescent="0.25">
      <c r="A96" s="39"/>
      <c r="B96" s="41"/>
      <c r="C96" t="s">
        <v>827</v>
      </c>
      <c r="D96" t="s">
        <v>1492</v>
      </c>
      <c r="E96" s="3">
        <f t="shared" si="2"/>
        <v>4</v>
      </c>
      <c r="F96">
        <v>68.41</v>
      </c>
      <c r="G96" s="3">
        <v>4</v>
      </c>
      <c r="H96">
        <v>20.59</v>
      </c>
      <c r="I96">
        <v>12.09</v>
      </c>
      <c r="J96">
        <v>9.09</v>
      </c>
      <c r="K96" s="3">
        <v>4</v>
      </c>
      <c r="L96" s="2">
        <v>12</v>
      </c>
      <c r="M96">
        <v>3.5</v>
      </c>
      <c r="N96">
        <v>0.5</v>
      </c>
      <c r="O96" s="19">
        <f t="shared" si="3"/>
        <v>1</v>
      </c>
      <c r="R96" s="1" t="s">
        <v>0</v>
      </c>
      <c r="S96" s="24">
        <f>AVERAGE(O$2:O$21)</f>
        <v>1</v>
      </c>
      <c r="T96" s="25"/>
      <c r="U96" s="24">
        <f>AVERAGE(O$22:O$41)</f>
        <v>1</v>
      </c>
      <c r="V96" s="25"/>
      <c r="W96" s="24">
        <f>AVERAGE(O$42:O$61)</f>
        <v>1</v>
      </c>
      <c r="X96" s="25"/>
    </row>
    <row r="97" spans="1:24" x14ac:dyDescent="0.25">
      <c r="A97" s="39"/>
      <c r="B97" s="41"/>
      <c r="C97" t="s">
        <v>828</v>
      </c>
      <c r="D97" t="s">
        <v>1492</v>
      </c>
      <c r="E97" s="3">
        <f t="shared" si="2"/>
        <v>4</v>
      </c>
      <c r="F97">
        <v>68.41</v>
      </c>
      <c r="G97" s="3">
        <v>4</v>
      </c>
      <c r="H97">
        <v>20.59</v>
      </c>
      <c r="I97">
        <v>12.09</v>
      </c>
      <c r="J97">
        <v>9.09</v>
      </c>
      <c r="K97" s="3">
        <v>4</v>
      </c>
      <c r="L97" s="2">
        <v>12</v>
      </c>
      <c r="M97">
        <v>3.5</v>
      </c>
      <c r="N97">
        <v>0.5</v>
      </c>
      <c r="O97" s="19">
        <f t="shared" si="3"/>
        <v>1</v>
      </c>
      <c r="R97" s="1" t="s">
        <v>1</v>
      </c>
      <c r="S97" s="24">
        <f>AVERAGE(O$62:O$81)</f>
        <v>1</v>
      </c>
      <c r="T97" s="25"/>
      <c r="U97" s="24">
        <f>AVERAGE(O$82:O$101)</f>
        <v>1</v>
      </c>
      <c r="V97" s="25"/>
      <c r="W97" s="24">
        <f>AVERAGE(O$102:O$121)</f>
        <v>1</v>
      </c>
      <c r="X97" s="25"/>
    </row>
    <row r="98" spans="1:24" x14ac:dyDescent="0.25">
      <c r="A98" s="39"/>
      <c r="B98" s="41"/>
      <c r="C98" t="s">
        <v>829</v>
      </c>
      <c r="D98" t="s">
        <v>1492</v>
      </c>
      <c r="E98" s="3">
        <f t="shared" si="2"/>
        <v>4</v>
      </c>
      <c r="F98">
        <v>68.41</v>
      </c>
      <c r="G98" s="3">
        <v>4</v>
      </c>
      <c r="H98">
        <v>20.59</v>
      </c>
      <c r="I98">
        <v>12.09</v>
      </c>
      <c r="J98">
        <v>9.09</v>
      </c>
      <c r="K98" s="3">
        <v>4</v>
      </c>
      <c r="L98" s="2">
        <v>12</v>
      </c>
      <c r="M98">
        <v>3.5</v>
      </c>
      <c r="N98">
        <v>0.5</v>
      </c>
      <c r="O98" s="19">
        <f t="shared" si="3"/>
        <v>1</v>
      </c>
      <c r="R98" s="1" t="s">
        <v>2</v>
      </c>
      <c r="S98" s="24">
        <f>AVERAGE(O$122:O$141)</f>
        <v>1</v>
      </c>
      <c r="T98" s="25"/>
      <c r="U98" s="24">
        <f>AVERAGE(O$142:O$161)</f>
        <v>1</v>
      </c>
      <c r="V98" s="25"/>
      <c r="W98" s="24">
        <f>AVERAGE(O$162:O$181)</f>
        <v>1</v>
      </c>
      <c r="X98" s="25"/>
    </row>
    <row r="99" spans="1:24" x14ac:dyDescent="0.25">
      <c r="A99" s="39"/>
      <c r="B99" s="41"/>
      <c r="C99" t="s">
        <v>830</v>
      </c>
      <c r="D99" t="s">
        <v>1492</v>
      </c>
      <c r="E99" s="3">
        <f t="shared" si="2"/>
        <v>4</v>
      </c>
      <c r="F99">
        <v>68.41</v>
      </c>
      <c r="G99" s="3">
        <v>4</v>
      </c>
      <c r="H99">
        <v>20.59</v>
      </c>
      <c r="I99">
        <v>12.09</v>
      </c>
      <c r="J99">
        <v>9.09</v>
      </c>
      <c r="K99" s="3">
        <v>4</v>
      </c>
      <c r="L99" s="2">
        <v>12</v>
      </c>
      <c r="M99">
        <v>3.5</v>
      </c>
      <c r="N99">
        <v>0.5</v>
      </c>
      <c r="O99" s="19">
        <f t="shared" si="3"/>
        <v>1</v>
      </c>
      <c r="R99" s="1" t="s">
        <v>1491</v>
      </c>
      <c r="S99" s="24">
        <f>AVERAGE(O$182:O$201)</f>
        <v>1</v>
      </c>
      <c r="T99" s="25"/>
      <c r="U99" s="24">
        <f>AVERAGE(O$202:O$221)</f>
        <v>1</v>
      </c>
      <c r="V99" s="25"/>
      <c r="W99" s="24">
        <f>AVERAGE(O$222:O$241)</f>
        <v>1</v>
      </c>
      <c r="X99" s="25"/>
    </row>
    <row r="100" spans="1:24" x14ac:dyDescent="0.25">
      <c r="A100" s="39"/>
      <c r="B100" s="41"/>
      <c r="C100" t="s">
        <v>831</v>
      </c>
      <c r="D100" t="s">
        <v>1492</v>
      </c>
      <c r="E100" s="3">
        <f t="shared" si="2"/>
        <v>4</v>
      </c>
      <c r="F100">
        <v>68.41</v>
      </c>
      <c r="G100" s="3">
        <v>4</v>
      </c>
      <c r="H100">
        <v>20.59</v>
      </c>
      <c r="I100">
        <v>12.09</v>
      </c>
      <c r="J100">
        <v>9.09</v>
      </c>
      <c r="K100" s="3">
        <v>4</v>
      </c>
      <c r="L100" s="2">
        <v>12</v>
      </c>
      <c r="M100">
        <v>3.5</v>
      </c>
      <c r="N100">
        <v>0.5</v>
      </c>
      <c r="O100" s="19">
        <f t="shared" si="3"/>
        <v>1</v>
      </c>
    </row>
    <row r="101" spans="1:24" x14ac:dyDescent="0.25">
      <c r="A101" s="39"/>
      <c r="B101" s="42"/>
      <c r="C101" s="10" t="s">
        <v>832</v>
      </c>
      <c r="D101" s="10" t="s">
        <v>1492</v>
      </c>
      <c r="E101" s="11">
        <f t="shared" si="2"/>
        <v>4</v>
      </c>
      <c r="F101" s="10">
        <v>68.41</v>
      </c>
      <c r="G101" s="11">
        <v>4</v>
      </c>
      <c r="H101" s="10">
        <v>20.59</v>
      </c>
      <c r="I101" s="10">
        <v>12.09</v>
      </c>
      <c r="J101" s="10">
        <v>9.09</v>
      </c>
      <c r="K101" s="11">
        <v>4</v>
      </c>
      <c r="L101" s="12">
        <v>12</v>
      </c>
      <c r="M101" s="10">
        <v>3.5</v>
      </c>
      <c r="N101" s="10">
        <v>0.5</v>
      </c>
      <c r="O101" s="20">
        <f t="shared" si="3"/>
        <v>1</v>
      </c>
    </row>
    <row r="102" spans="1:24" x14ac:dyDescent="0.25">
      <c r="A102" s="39"/>
      <c r="B102" s="40" t="s">
        <v>5</v>
      </c>
      <c r="C102" s="7" t="s">
        <v>833</v>
      </c>
      <c r="D102" s="7" t="s">
        <v>1492</v>
      </c>
      <c r="E102" s="8">
        <f t="shared" si="2"/>
        <v>4</v>
      </c>
      <c r="F102" s="7">
        <v>91.21</v>
      </c>
      <c r="G102" s="8">
        <v>4</v>
      </c>
      <c r="H102" s="7">
        <v>27.46</v>
      </c>
      <c r="I102" s="7">
        <v>18.96</v>
      </c>
      <c r="J102" s="7">
        <v>15.96</v>
      </c>
      <c r="K102" s="8">
        <v>4</v>
      </c>
      <c r="L102" s="9">
        <v>16</v>
      </c>
      <c r="M102" s="7">
        <v>7.5</v>
      </c>
      <c r="N102" s="7">
        <v>4.5</v>
      </c>
      <c r="O102" s="18">
        <f t="shared" si="3"/>
        <v>1</v>
      </c>
    </row>
    <row r="103" spans="1:24" x14ac:dyDescent="0.25">
      <c r="A103" s="39"/>
      <c r="B103" s="41"/>
      <c r="C103" t="s">
        <v>834</v>
      </c>
      <c r="D103" t="s">
        <v>1492</v>
      </c>
      <c r="E103" s="3">
        <f t="shared" si="2"/>
        <v>4</v>
      </c>
      <c r="F103">
        <v>91.21</v>
      </c>
      <c r="G103" s="3">
        <v>4</v>
      </c>
      <c r="H103">
        <v>27.46</v>
      </c>
      <c r="I103">
        <v>18.96</v>
      </c>
      <c r="J103">
        <v>15.96</v>
      </c>
      <c r="K103" s="3">
        <v>4</v>
      </c>
      <c r="L103" s="2">
        <v>16</v>
      </c>
      <c r="M103">
        <v>7.5</v>
      </c>
      <c r="N103">
        <v>4.5</v>
      </c>
      <c r="O103" s="19">
        <f t="shared" si="3"/>
        <v>1</v>
      </c>
    </row>
    <row r="104" spans="1:24" x14ac:dyDescent="0.25">
      <c r="A104" s="39"/>
      <c r="B104" s="41"/>
      <c r="C104" t="s">
        <v>835</v>
      </c>
      <c r="D104" t="s">
        <v>1492</v>
      </c>
      <c r="E104" s="3">
        <f t="shared" si="2"/>
        <v>4</v>
      </c>
      <c r="F104">
        <v>91.21</v>
      </c>
      <c r="G104" s="3">
        <v>4</v>
      </c>
      <c r="H104">
        <v>27.46</v>
      </c>
      <c r="I104">
        <v>18.96</v>
      </c>
      <c r="J104">
        <v>15.96</v>
      </c>
      <c r="K104" s="3">
        <v>4</v>
      </c>
      <c r="L104" s="2">
        <v>15.28</v>
      </c>
      <c r="M104">
        <v>6.78</v>
      </c>
      <c r="N104">
        <v>3.78</v>
      </c>
      <c r="O104" s="19">
        <f t="shared" si="3"/>
        <v>1</v>
      </c>
    </row>
    <row r="105" spans="1:24" x14ac:dyDescent="0.25">
      <c r="A105" s="39"/>
      <c r="B105" s="41"/>
      <c r="C105" t="s">
        <v>836</v>
      </c>
      <c r="D105" t="s">
        <v>1492</v>
      </c>
      <c r="E105" s="3">
        <f t="shared" si="2"/>
        <v>4</v>
      </c>
      <c r="F105">
        <v>91.21</v>
      </c>
      <c r="G105" s="3">
        <v>4</v>
      </c>
      <c r="H105">
        <v>27.46</v>
      </c>
      <c r="I105">
        <v>18.96</v>
      </c>
      <c r="J105">
        <v>15.96</v>
      </c>
      <c r="K105" s="3">
        <v>4</v>
      </c>
      <c r="L105" s="2">
        <v>16</v>
      </c>
      <c r="M105">
        <v>7.5</v>
      </c>
      <c r="N105">
        <v>4.5</v>
      </c>
      <c r="O105" s="19">
        <f t="shared" si="3"/>
        <v>1</v>
      </c>
    </row>
    <row r="106" spans="1:24" x14ac:dyDescent="0.25">
      <c r="A106" s="39"/>
      <c r="B106" s="41"/>
      <c r="C106" t="s">
        <v>837</v>
      </c>
      <c r="D106" t="s">
        <v>1492</v>
      </c>
      <c r="E106" s="3">
        <f t="shared" si="2"/>
        <v>4</v>
      </c>
      <c r="F106">
        <v>91.21</v>
      </c>
      <c r="G106" s="3">
        <v>4</v>
      </c>
      <c r="H106">
        <v>27.46</v>
      </c>
      <c r="I106">
        <v>18.96</v>
      </c>
      <c r="J106">
        <v>15.96</v>
      </c>
      <c r="K106" s="3">
        <v>4</v>
      </c>
      <c r="L106" s="2">
        <v>16</v>
      </c>
      <c r="M106">
        <v>7.5</v>
      </c>
      <c r="N106">
        <v>4.5</v>
      </c>
      <c r="O106" s="19">
        <f t="shared" si="3"/>
        <v>1</v>
      </c>
    </row>
    <row r="107" spans="1:24" x14ac:dyDescent="0.25">
      <c r="A107" s="39"/>
      <c r="B107" s="41"/>
      <c r="C107" t="s">
        <v>838</v>
      </c>
      <c r="D107" t="s">
        <v>1492</v>
      </c>
      <c r="E107" s="3">
        <f t="shared" si="2"/>
        <v>4</v>
      </c>
      <c r="F107">
        <v>91.21</v>
      </c>
      <c r="G107" s="3">
        <v>4</v>
      </c>
      <c r="H107">
        <v>27.46</v>
      </c>
      <c r="I107">
        <v>18.96</v>
      </c>
      <c r="J107">
        <v>15.96</v>
      </c>
      <c r="K107" s="3">
        <v>4</v>
      </c>
      <c r="L107" s="2">
        <v>15.62</v>
      </c>
      <c r="M107">
        <v>7.12</v>
      </c>
      <c r="N107">
        <v>4.12</v>
      </c>
      <c r="O107" s="19">
        <f t="shared" si="3"/>
        <v>1</v>
      </c>
    </row>
    <row r="108" spans="1:24" x14ac:dyDescent="0.25">
      <c r="A108" s="39"/>
      <c r="B108" s="41"/>
      <c r="C108" t="s">
        <v>839</v>
      </c>
      <c r="D108" t="s">
        <v>1492</v>
      </c>
      <c r="E108" s="3">
        <f t="shared" si="2"/>
        <v>4</v>
      </c>
      <c r="F108">
        <v>91.21</v>
      </c>
      <c r="G108" s="3">
        <v>4</v>
      </c>
      <c r="H108">
        <v>27.46</v>
      </c>
      <c r="I108">
        <v>18.96</v>
      </c>
      <c r="J108">
        <v>15.96</v>
      </c>
      <c r="K108" s="3">
        <v>4</v>
      </c>
      <c r="L108" s="2">
        <v>16</v>
      </c>
      <c r="M108">
        <v>7.5</v>
      </c>
      <c r="N108">
        <v>4.5</v>
      </c>
      <c r="O108" s="19">
        <f t="shared" si="3"/>
        <v>1</v>
      </c>
    </row>
    <row r="109" spans="1:24" x14ac:dyDescent="0.25">
      <c r="A109" s="39"/>
      <c r="B109" s="41"/>
      <c r="C109" t="s">
        <v>840</v>
      </c>
      <c r="D109" t="s">
        <v>1492</v>
      </c>
      <c r="E109" s="3">
        <f t="shared" si="2"/>
        <v>4</v>
      </c>
      <c r="F109">
        <v>91.21</v>
      </c>
      <c r="G109" s="3">
        <v>4</v>
      </c>
      <c r="H109">
        <v>27.46</v>
      </c>
      <c r="I109">
        <v>18.96</v>
      </c>
      <c r="J109">
        <v>15.96</v>
      </c>
      <c r="K109" s="3">
        <v>4</v>
      </c>
      <c r="L109" s="2">
        <v>16</v>
      </c>
      <c r="M109">
        <v>7.5</v>
      </c>
      <c r="N109">
        <v>4.5</v>
      </c>
      <c r="O109" s="19">
        <f t="shared" si="3"/>
        <v>1</v>
      </c>
    </row>
    <row r="110" spans="1:24" x14ac:dyDescent="0.25">
      <c r="A110" s="39"/>
      <c r="B110" s="41"/>
      <c r="C110" t="s">
        <v>841</v>
      </c>
      <c r="D110" t="s">
        <v>1492</v>
      </c>
      <c r="E110" s="3">
        <f t="shared" si="2"/>
        <v>4</v>
      </c>
      <c r="F110">
        <v>91.21</v>
      </c>
      <c r="G110" s="3">
        <v>4</v>
      </c>
      <c r="H110">
        <v>27.46</v>
      </c>
      <c r="I110">
        <v>18.96</v>
      </c>
      <c r="J110">
        <v>15.96</v>
      </c>
      <c r="K110" s="3">
        <v>4</v>
      </c>
      <c r="L110" s="2">
        <v>15.61</v>
      </c>
      <c r="M110">
        <v>7.11</v>
      </c>
      <c r="N110">
        <v>4.1100000000000003</v>
      </c>
      <c r="O110" s="19">
        <f t="shared" si="3"/>
        <v>1</v>
      </c>
    </row>
    <row r="111" spans="1:24" x14ac:dyDescent="0.25">
      <c r="A111" s="39"/>
      <c r="B111" s="41"/>
      <c r="C111" t="s">
        <v>842</v>
      </c>
      <c r="D111" t="s">
        <v>1492</v>
      </c>
      <c r="E111" s="3">
        <f t="shared" si="2"/>
        <v>4</v>
      </c>
      <c r="F111">
        <v>91.21</v>
      </c>
      <c r="G111" s="3">
        <v>4</v>
      </c>
      <c r="H111">
        <v>27.46</v>
      </c>
      <c r="I111">
        <v>18.96</v>
      </c>
      <c r="J111">
        <v>15.96</v>
      </c>
      <c r="K111" s="3">
        <v>4</v>
      </c>
      <c r="L111" s="2">
        <v>16</v>
      </c>
      <c r="M111">
        <v>7.5</v>
      </c>
      <c r="N111">
        <v>4.5</v>
      </c>
      <c r="O111" s="19">
        <f t="shared" si="3"/>
        <v>1</v>
      </c>
    </row>
    <row r="112" spans="1:24" x14ac:dyDescent="0.25">
      <c r="A112" s="39"/>
      <c r="B112" s="41"/>
      <c r="C112" t="s">
        <v>843</v>
      </c>
      <c r="D112" t="s">
        <v>1492</v>
      </c>
      <c r="E112" s="3">
        <f t="shared" si="2"/>
        <v>4</v>
      </c>
      <c r="F112">
        <v>91.21</v>
      </c>
      <c r="G112" s="3">
        <v>4</v>
      </c>
      <c r="H112">
        <v>27.46</v>
      </c>
      <c r="I112">
        <v>18.96</v>
      </c>
      <c r="J112">
        <v>15.96</v>
      </c>
      <c r="K112" s="3">
        <v>4</v>
      </c>
      <c r="L112" s="2">
        <v>16</v>
      </c>
      <c r="M112">
        <v>7.5</v>
      </c>
      <c r="N112">
        <v>4.5</v>
      </c>
      <c r="O112" s="19">
        <f t="shared" si="3"/>
        <v>1</v>
      </c>
    </row>
    <row r="113" spans="1:15" x14ac:dyDescent="0.25">
      <c r="A113" s="39"/>
      <c r="B113" s="41"/>
      <c r="C113" t="s">
        <v>844</v>
      </c>
      <c r="D113" t="s">
        <v>1492</v>
      </c>
      <c r="E113" s="3">
        <f t="shared" si="2"/>
        <v>4</v>
      </c>
      <c r="F113">
        <v>91.21</v>
      </c>
      <c r="G113" s="3">
        <v>4</v>
      </c>
      <c r="H113">
        <v>27.46</v>
      </c>
      <c r="I113">
        <v>18.96</v>
      </c>
      <c r="J113">
        <v>15.96</v>
      </c>
      <c r="K113" s="3">
        <v>4</v>
      </c>
      <c r="L113" s="2">
        <v>16</v>
      </c>
      <c r="M113">
        <v>7.5</v>
      </c>
      <c r="N113">
        <v>4.5</v>
      </c>
      <c r="O113" s="19">
        <f t="shared" si="3"/>
        <v>1</v>
      </c>
    </row>
    <row r="114" spans="1:15" x14ac:dyDescent="0.25">
      <c r="A114" s="39"/>
      <c r="B114" s="41"/>
      <c r="C114" t="s">
        <v>845</v>
      </c>
      <c r="D114" t="s">
        <v>1492</v>
      </c>
      <c r="E114" s="3">
        <f t="shared" si="2"/>
        <v>4</v>
      </c>
      <c r="F114">
        <v>91.21</v>
      </c>
      <c r="G114" s="3">
        <v>4</v>
      </c>
      <c r="H114">
        <v>27.46</v>
      </c>
      <c r="I114">
        <v>18.96</v>
      </c>
      <c r="J114">
        <v>15.96</v>
      </c>
      <c r="K114" s="3">
        <v>4</v>
      </c>
      <c r="L114" s="2">
        <v>16</v>
      </c>
      <c r="M114">
        <v>7.5</v>
      </c>
      <c r="N114">
        <v>4.5</v>
      </c>
      <c r="O114" s="19">
        <f t="shared" si="3"/>
        <v>1</v>
      </c>
    </row>
    <row r="115" spans="1:15" x14ac:dyDescent="0.25">
      <c r="A115" s="39"/>
      <c r="B115" s="41"/>
      <c r="C115" t="s">
        <v>846</v>
      </c>
      <c r="D115" t="s">
        <v>1492</v>
      </c>
      <c r="E115" s="3">
        <f t="shared" si="2"/>
        <v>4</v>
      </c>
      <c r="F115">
        <v>91.21</v>
      </c>
      <c r="G115" s="3">
        <v>4</v>
      </c>
      <c r="H115">
        <v>27.46</v>
      </c>
      <c r="I115">
        <v>18.96</v>
      </c>
      <c r="J115">
        <v>15.96</v>
      </c>
      <c r="K115" s="3">
        <v>4</v>
      </c>
      <c r="L115" s="2">
        <v>16</v>
      </c>
      <c r="M115">
        <v>7.5</v>
      </c>
      <c r="N115">
        <v>4.5</v>
      </c>
      <c r="O115" s="19">
        <f t="shared" si="3"/>
        <v>1</v>
      </c>
    </row>
    <row r="116" spans="1:15" x14ac:dyDescent="0.25">
      <c r="A116" s="39"/>
      <c r="B116" s="41"/>
      <c r="C116" t="s">
        <v>847</v>
      </c>
      <c r="D116" t="s">
        <v>1492</v>
      </c>
      <c r="E116" s="3">
        <f t="shared" si="2"/>
        <v>4</v>
      </c>
      <c r="F116">
        <v>91.21</v>
      </c>
      <c r="G116" s="3">
        <v>4</v>
      </c>
      <c r="H116">
        <v>27.46</v>
      </c>
      <c r="I116">
        <v>18.96</v>
      </c>
      <c r="J116">
        <v>15.96</v>
      </c>
      <c r="K116" s="3">
        <v>4</v>
      </c>
      <c r="L116" s="2">
        <v>16</v>
      </c>
      <c r="M116">
        <v>7.5</v>
      </c>
      <c r="N116">
        <v>4.5</v>
      </c>
      <c r="O116" s="19">
        <f t="shared" si="3"/>
        <v>1</v>
      </c>
    </row>
    <row r="117" spans="1:15" x14ac:dyDescent="0.25">
      <c r="A117" s="39"/>
      <c r="B117" s="41"/>
      <c r="C117" t="s">
        <v>848</v>
      </c>
      <c r="D117" t="s">
        <v>1492</v>
      </c>
      <c r="E117" s="3">
        <f t="shared" si="2"/>
        <v>4</v>
      </c>
      <c r="F117">
        <v>91.21</v>
      </c>
      <c r="G117" s="3">
        <v>4</v>
      </c>
      <c r="H117">
        <v>27.46</v>
      </c>
      <c r="I117">
        <v>18.96</v>
      </c>
      <c r="J117">
        <v>15.96</v>
      </c>
      <c r="K117" s="3">
        <v>4</v>
      </c>
      <c r="L117" s="2">
        <v>16</v>
      </c>
      <c r="M117">
        <v>7.5</v>
      </c>
      <c r="N117">
        <v>4.5</v>
      </c>
      <c r="O117" s="19">
        <f t="shared" si="3"/>
        <v>1</v>
      </c>
    </row>
    <row r="118" spans="1:15" x14ac:dyDescent="0.25">
      <c r="A118" s="39"/>
      <c r="B118" s="41"/>
      <c r="C118" t="s">
        <v>849</v>
      </c>
      <c r="D118" t="s">
        <v>1492</v>
      </c>
      <c r="E118" s="3">
        <f t="shared" si="2"/>
        <v>4</v>
      </c>
      <c r="F118">
        <v>91.21</v>
      </c>
      <c r="G118" s="3">
        <v>4</v>
      </c>
      <c r="H118">
        <v>27.46</v>
      </c>
      <c r="I118">
        <v>18.96</v>
      </c>
      <c r="J118">
        <v>15.96</v>
      </c>
      <c r="K118" s="3">
        <v>4</v>
      </c>
      <c r="L118" s="2">
        <v>16</v>
      </c>
      <c r="M118">
        <v>7.5</v>
      </c>
      <c r="N118">
        <v>4.5</v>
      </c>
      <c r="O118" s="19">
        <f t="shared" si="3"/>
        <v>1</v>
      </c>
    </row>
    <row r="119" spans="1:15" x14ac:dyDescent="0.25">
      <c r="A119" s="39"/>
      <c r="B119" s="41"/>
      <c r="C119" t="s">
        <v>850</v>
      </c>
      <c r="D119" t="s">
        <v>1492</v>
      </c>
      <c r="E119" s="3">
        <f t="shared" si="2"/>
        <v>4</v>
      </c>
      <c r="F119">
        <v>91.21</v>
      </c>
      <c r="G119" s="3">
        <v>4</v>
      </c>
      <c r="H119">
        <v>27.46</v>
      </c>
      <c r="I119">
        <v>18.96</v>
      </c>
      <c r="J119">
        <v>15.96</v>
      </c>
      <c r="K119" s="3">
        <v>4</v>
      </c>
      <c r="L119" s="2">
        <v>16</v>
      </c>
      <c r="M119">
        <v>7.5</v>
      </c>
      <c r="N119">
        <v>4.5</v>
      </c>
      <c r="O119" s="19">
        <f t="shared" si="3"/>
        <v>1</v>
      </c>
    </row>
    <row r="120" spans="1:15" x14ac:dyDescent="0.25">
      <c r="A120" s="39"/>
      <c r="B120" s="41"/>
      <c r="C120" t="s">
        <v>851</v>
      </c>
      <c r="D120" t="s">
        <v>1492</v>
      </c>
      <c r="E120" s="3">
        <f t="shared" si="2"/>
        <v>4</v>
      </c>
      <c r="F120">
        <v>91.21</v>
      </c>
      <c r="G120" s="3">
        <v>4</v>
      </c>
      <c r="H120">
        <v>27.46</v>
      </c>
      <c r="I120">
        <v>18.96</v>
      </c>
      <c r="J120">
        <v>15.96</v>
      </c>
      <c r="K120" s="3">
        <v>4</v>
      </c>
      <c r="L120" s="2">
        <v>16</v>
      </c>
      <c r="M120">
        <v>7.5</v>
      </c>
      <c r="N120">
        <v>4.5</v>
      </c>
      <c r="O120" s="19">
        <f t="shared" si="3"/>
        <v>1</v>
      </c>
    </row>
    <row r="121" spans="1:15" x14ac:dyDescent="0.25">
      <c r="A121" s="39"/>
      <c r="B121" s="42"/>
      <c r="C121" s="10" t="s">
        <v>852</v>
      </c>
      <c r="D121" s="10" t="s">
        <v>1492</v>
      </c>
      <c r="E121" s="11">
        <f t="shared" si="2"/>
        <v>4</v>
      </c>
      <c r="F121" s="10">
        <v>91.21</v>
      </c>
      <c r="G121" s="11">
        <v>4</v>
      </c>
      <c r="H121" s="10">
        <v>27.46</v>
      </c>
      <c r="I121" s="10">
        <v>18.96</v>
      </c>
      <c r="J121" s="10">
        <v>15.96</v>
      </c>
      <c r="K121" s="11">
        <v>4</v>
      </c>
      <c r="L121" s="12">
        <v>16</v>
      </c>
      <c r="M121" s="10">
        <v>7.5</v>
      </c>
      <c r="N121" s="10">
        <v>4.5</v>
      </c>
      <c r="O121" s="20">
        <f t="shared" si="3"/>
        <v>1</v>
      </c>
    </row>
    <row r="122" spans="1:15" x14ac:dyDescent="0.25">
      <c r="A122" s="39" t="s">
        <v>2</v>
      </c>
      <c r="B122" s="40" t="s">
        <v>4</v>
      </c>
      <c r="C122" s="7" t="s">
        <v>853</v>
      </c>
      <c r="D122" s="7" t="s">
        <v>812</v>
      </c>
      <c r="E122" s="8">
        <f t="shared" si="2"/>
        <v>2</v>
      </c>
      <c r="F122" s="7">
        <v>47.63</v>
      </c>
      <c r="G122" s="8">
        <v>4</v>
      </c>
      <c r="H122" s="7">
        <v>14.34</v>
      </c>
      <c r="I122" s="7">
        <v>5.84</v>
      </c>
      <c r="J122" s="7">
        <v>2.84</v>
      </c>
      <c r="K122" s="8">
        <v>2</v>
      </c>
      <c r="L122" s="9">
        <v>8</v>
      </c>
      <c r="M122" s="7">
        <v>-0.5</v>
      </c>
      <c r="N122" s="7">
        <v>-3.5</v>
      </c>
      <c r="O122" s="18">
        <f t="shared" si="3"/>
        <v>1</v>
      </c>
    </row>
    <row r="123" spans="1:15" x14ac:dyDescent="0.25">
      <c r="A123" s="39"/>
      <c r="B123" s="41"/>
      <c r="C123" t="s">
        <v>854</v>
      </c>
      <c r="D123" t="s">
        <v>812</v>
      </c>
      <c r="E123" s="3">
        <f t="shared" si="2"/>
        <v>2</v>
      </c>
      <c r="F123">
        <v>47.63</v>
      </c>
      <c r="G123" s="3">
        <v>4</v>
      </c>
      <c r="H123">
        <v>14.34</v>
      </c>
      <c r="I123">
        <v>5.84</v>
      </c>
      <c r="J123">
        <v>2.84</v>
      </c>
      <c r="K123" s="3">
        <v>2</v>
      </c>
      <c r="L123" s="2">
        <v>8</v>
      </c>
      <c r="M123">
        <v>-0.5</v>
      </c>
      <c r="N123">
        <v>-3.5</v>
      </c>
      <c r="O123" s="19">
        <f t="shared" si="3"/>
        <v>1</v>
      </c>
    </row>
    <row r="124" spans="1:15" x14ac:dyDescent="0.25">
      <c r="A124" s="39"/>
      <c r="B124" s="41"/>
      <c r="C124" t="s">
        <v>855</v>
      </c>
      <c r="D124" t="s">
        <v>812</v>
      </c>
      <c r="E124" s="3">
        <f t="shared" si="2"/>
        <v>2</v>
      </c>
      <c r="F124">
        <v>47.63</v>
      </c>
      <c r="G124" s="3">
        <v>4</v>
      </c>
      <c r="H124">
        <v>14.34</v>
      </c>
      <c r="I124">
        <v>5.84</v>
      </c>
      <c r="J124">
        <v>2.84</v>
      </c>
      <c r="K124" s="3">
        <v>2</v>
      </c>
      <c r="L124" s="2">
        <v>8</v>
      </c>
      <c r="M124">
        <v>-0.5</v>
      </c>
      <c r="N124">
        <v>-3.5</v>
      </c>
      <c r="O124" s="19">
        <f t="shared" si="3"/>
        <v>1</v>
      </c>
    </row>
    <row r="125" spans="1:15" x14ac:dyDescent="0.25">
      <c r="A125" s="39"/>
      <c r="B125" s="41"/>
      <c r="C125" t="s">
        <v>856</v>
      </c>
      <c r="D125" t="s">
        <v>812</v>
      </c>
      <c r="E125" s="3">
        <f t="shared" si="2"/>
        <v>2</v>
      </c>
      <c r="F125">
        <v>47.63</v>
      </c>
      <c r="G125" s="3">
        <v>4</v>
      </c>
      <c r="H125">
        <v>14.34</v>
      </c>
      <c r="I125">
        <v>5.84</v>
      </c>
      <c r="J125">
        <v>2.84</v>
      </c>
      <c r="K125" s="3">
        <v>2</v>
      </c>
      <c r="L125" s="2">
        <v>8</v>
      </c>
      <c r="M125">
        <v>-0.5</v>
      </c>
      <c r="N125">
        <v>-3.5</v>
      </c>
      <c r="O125" s="19">
        <f t="shared" si="3"/>
        <v>1</v>
      </c>
    </row>
    <row r="126" spans="1:15" x14ac:dyDescent="0.25">
      <c r="A126" s="39"/>
      <c r="B126" s="41"/>
      <c r="C126" t="s">
        <v>857</v>
      </c>
      <c r="D126" t="s">
        <v>812</v>
      </c>
      <c r="E126" s="3">
        <f t="shared" si="2"/>
        <v>2</v>
      </c>
      <c r="F126">
        <v>47.63</v>
      </c>
      <c r="G126" s="3">
        <v>4</v>
      </c>
      <c r="H126">
        <v>14.34</v>
      </c>
      <c r="I126">
        <v>5.84</v>
      </c>
      <c r="J126">
        <v>2.84</v>
      </c>
      <c r="K126" s="3">
        <v>2</v>
      </c>
      <c r="L126" s="2">
        <v>8</v>
      </c>
      <c r="M126">
        <v>-0.5</v>
      </c>
      <c r="N126">
        <v>-3.5</v>
      </c>
      <c r="O126" s="19">
        <f t="shared" si="3"/>
        <v>1</v>
      </c>
    </row>
    <row r="127" spans="1:15" x14ac:dyDescent="0.25">
      <c r="A127" s="39"/>
      <c r="B127" s="41"/>
      <c r="C127" t="s">
        <v>858</v>
      </c>
      <c r="D127" t="s">
        <v>812</v>
      </c>
      <c r="E127" s="3">
        <f t="shared" si="2"/>
        <v>2</v>
      </c>
      <c r="F127">
        <v>47.63</v>
      </c>
      <c r="G127" s="3">
        <v>4</v>
      </c>
      <c r="H127">
        <v>14.34</v>
      </c>
      <c r="I127">
        <v>5.84</v>
      </c>
      <c r="J127">
        <v>2.84</v>
      </c>
      <c r="K127" s="3">
        <v>2</v>
      </c>
      <c r="L127" s="2">
        <v>8</v>
      </c>
      <c r="M127">
        <v>-0.5</v>
      </c>
      <c r="N127">
        <v>-3.5</v>
      </c>
      <c r="O127" s="19">
        <f t="shared" si="3"/>
        <v>1</v>
      </c>
    </row>
    <row r="128" spans="1:15" x14ac:dyDescent="0.25">
      <c r="A128" s="39"/>
      <c r="B128" s="41"/>
      <c r="C128" t="s">
        <v>859</v>
      </c>
      <c r="D128" t="s">
        <v>812</v>
      </c>
      <c r="E128" s="3">
        <f t="shared" si="2"/>
        <v>2</v>
      </c>
      <c r="F128">
        <v>47.63</v>
      </c>
      <c r="G128" s="3">
        <v>4</v>
      </c>
      <c r="H128">
        <v>14.34</v>
      </c>
      <c r="I128">
        <v>5.84</v>
      </c>
      <c r="J128">
        <v>2.84</v>
      </c>
      <c r="K128" s="3">
        <v>2</v>
      </c>
      <c r="L128" s="2">
        <v>8</v>
      </c>
      <c r="M128">
        <v>-0.5</v>
      </c>
      <c r="N128">
        <v>-3.5</v>
      </c>
      <c r="O128" s="19">
        <f t="shared" si="3"/>
        <v>1</v>
      </c>
    </row>
    <row r="129" spans="1:15" x14ac:dyDescent="0.25">
      <c r="A129" s="39"/>
      <c r="B129" s="41"/>
      <c r="C129" t="s">
        <v>860</v>
      </c>
      <c r="D129" t="s">
        <v>812</v>
      </c>
      <c r="E129" s="3">
        <f t="shared" si="2"/>
        <v>2</v>
      </c>
      <c r="F129">
        <v>47.63</v>
      </c>
      <c r="G129" s="3">
        <v>4</v>
      </c>
      <c r="H129">
        <v>14.34</v>
      </c>
      <c r="I129">
        <v>5.84</v>
      </c>
      <c r="J129">
        <v>2.84</v>
      </c>
      <c r="K129" s="3">
        <v>2</v>
      </c>
      <c r="L129" s="2">
        <v>8</v>
      </c>
      <c r="M129">
        <v>-0.5</v>
      </c>
      <c r="N129">
        <v>-3.5</v>
      </c>
      <c r="O129" s="19">
        <f t="shared" si="3"/>
        <v>1</v>
      </c>
    </row>
    <row r="130" spans="1:15" x14ac:dyDescent="0.25">
      <c r="A130" s="39"/>
      <c r="B130" s="41"/>
      <c r="C130" t="s">
        <v>861</v>
      </c>
      <c r="D130" t="s">
        <v>812</v>
      </c>
      <c r="E130" s="3">
        <f t="shared" si="2"/>
        <v>2</v>
      </c>
      <c r="F130">
        <v>47.63</v>
      </c>
      <c r="G130" s="3">
        <v>4</v>
      </c>
      <c r="H130">
        <v>14.34</v>
      </c>
      <c r="I130">
        <v>5.84</v>
      </c>
      <c r="J130">
        <v>2.84</v>
      </c>
      <c r="K130" s="3">
        <v>2</v>
      </c>
      <c r="L130" s="2">
        <v>8</v>
      </c>
      <c r="M130">
        <v>-0.5</v>
      </c>
      <c r="N130">
        <v>-3.5</v>
      </c>
      <c r="O130" s="19">
        <f t="shared" si="3"/>
        <v>1</v>
      </c>
    </row>
    <row r="131" spans="1:15" x14ac:dyDescent="0.25">
      <c r="A131" s="39"/>
      <c r="B131" s="41"/>
      <c r="C131" t="s">
        <v>862</v>
      </c>
      <c r="D131" t="s">
        <v>812</v>
      </c>
      <c r="E131" s="3">
        <f t="shared" ref="E131:E194" si="4">IF(D131="Muito Fraca", 0, IF(D131="Fraca", 1, IF(D131="Razoável", 2, IF(D131="Média", 3, 4))))</f>
        <v>2</v>
      </c>
      <c r="F131">
        <v>47.63</v>
      </c>
      <c r="G131" s="3">
        <v>4</v>
      </c>
      <c r="H131">
        <v>14.34</v>
      </c>
      <c r="I131">
        <v>5.84</v>
      </c>
      <c r="J131">
        <v>2.84</v>
      </c>
      <c r="K131" s="3">
        <v>2</v>
      </c>
      <c r="L131" s="2">
        <v>8</v>
      </c>
      <c r="M131">
        <v>-0.5</v>
      </c>
      <c r="N131">
        <v>-3.5</v>
      </c>
      <c r="O131" s="19">
        <f t="shared" ref="O131:O194" si="5">E131/K131</f>
        <v>1</v>
      </c>
    </row>
    <row r="132" spans="1:15" x14ac:dyDescent="0.25">
      <c r="A132" s="39"/>
      <c r="B132" s="41"/>
      <c r="C132" t="s">
        <v>863</v>
      </c>
      <c r="D132" t="s">
        <v>812</v>
      </c>
      <c r="E132" s="3">
        <f t="shared" si="4"/>
        <v>2</v>
      </c>
      <c r="F132">
        <v>51.14</v>
      </c>
      <c r="G132" s="3">
        <v>4</v>
      </c>
      <c r="H132">
        <v>15.39</v>
      </c>
      <c r="I132">
        <v>6.9</v>
      </c>
      <c r="J132">
        <v>3.9</v>
      </c>
      <c r="K132" s="3">
        <v>2</v>
      </c>
      <c r="L132" s="2">
        <v>8</v>
      </c>
      <c r="M132">
        <v>-0.5</v>
      </c>
      <c r="N132">
        <v>-3.5</v>
      </c>
      <c r="O132" s="19">
        <f t="shared" si="5"/>
        <v>1</v>
      </c>
    </row>
    <row r="133" spans="1:15" x14ac:dyDescent="0.25">
      <c r="A133" s="39"/>
      <c r="B133" s="41"/>
      <c r="C133" t="s">
        <v>864</v>
      </c>
      <c r="D133" t="s">
        <v>812</v>
      </c>
      <c r="E133" s="3">
        <f t="shared" si="4"/>
        <v>2</v>
      </c>
      <c r="F133">
        <v>51.14</v>
      </c>
      <c r="G133" s="3">
        <v>4</v>
      </c>
      <c r="H133">
        <v>15.39</v>
      </c>
      <c r="I133">
        <v>6.9</v>
      </c>
      <c r="J133">
        <v>3.9</v>
      </c>
      <c r="K133" s="3">
        <v>2</v>
      </c>
      <c r="L133" s="2">
        <v>8</v>
      </c>
      <c r="M133">
        <v>-0.5</v>
      </c>
      <c r="N133">
        <v>-3.5</v>
      </c>
      <c r="O133" s="19">
        <f t="shared" si="5"/>
        <v>1</v>
      </c>
    </row>
    <row r="134" spans="1:15" x14ac:dyDescent="0.25">
      <c r="A134" s="39"/>
      <c r="B134" s="41"/>
      <c r="C134" t="s">
        <v>865</v>
      </c>
      <c r="D134" t="s">
        <v>812</v>
      </c>
      <c r="E134" s="3">
        <f t="shared" si="4"/>
        <v>2</v>
      </c>
      <c r="F134">
        <v>51.14</v>
      </c>
      <c r="G134" s="3">
        <v>4</v>
      </c>
      <c r="H134">
        <v>15.39</v>
      </c>
      <c r="I134">
        <v>6.9</v>
      </c>
      <c r="J134">
        <v>3.9</v>
      </c>
      <c r="K134" s="3">
        <v>2</v>
      </c>
      <c r="L134" s="2">
        <v>8</v>
      </c>
      <c r="M134">
        <v>-0.5</v>
      </c>
      <c r="N134">
        <v>-3.5</v>
      </c>
      <c r="O134" s="19">
        <f t="shared" si="5"/>
        <v>1</v>
      </c>
    </row>
    <row r="135" spans="1:15" x14ac:dyDescent="0.25">
      <c r="A135" s="39"/>
      <c r="B135" s="41"/>
      <c r="C135" t="s">
        <v>866</v>
      </c>
      <c r="D135" t="s">
        <v>812</v>
      </c>
      <c r="E135" s="3">
        <f t="shared" si="4"/>
        <v>2</v>
      </c>
      <c r="F135">
        <v>51.14</v>
      </c>
      <c r="G135" s="3">
        <v>4</v>
      </c>
      <c r="H135">
        <v>15.39</v>
      </c>
      <c r="I135">
        <v>6.9</v>
      </c>
      <c r="J135">
        <v>3.9</v>
      </c>
      <c r="K135" s="3">
        <v>2</v>
      </c>
      <c r="L135" s="2">
        <v>8</v>
      </c>
      <c r="M135">
        <v>-0.5</v>
      </c>
      <c r="N135">
        <v>-3.5</v>
      </c>
      <c r="O135" s="19">
        <f t="shared" si="5"/>
        <v>1</v>
      </c>
    </row>
    <row r="136" spans="1:15" x14ac:dyDescent="0.25">
      <c r="A136" s="39"/>
      <c r="B136" s="41"/>
      <c r="C136" t="s">
        <v>867</v>
      </c>
      <c r="D136" t="s">
        <v>812</v>
      </c>
      <c r="E136" s="3">
        <f t="shared" si="4"/>
        <v>2</v>
      </c>
      <c r="F136">
        <v>51.14</v>
      </c>
      <c r="G136" s="3">
        <v>4</v>
      </c>
      <c r="H136">
        <v>15.39</v>
      </c>
      <c r="I136">
        <v>6.9</v>
      </c>
      <c r="J136">
        <v>3.9</v>
      </c>
      <c r="K136" s="3">
        <v>2</v>
      </c>
      <c r="L136" s="2">
        <v>8</v>
      </c>
      <c r="M136">
        <v>-0.5</v>
      </c>
      <c r="N136">
        <v>-3.5</v>
      </c>
      <c r="O136" s="19">
        <f t="shared" si="5"/>
        <v>1</v>
      </c>
    </row>
    <row r="137" spans="1:15" x14ac:dyDescent="0.25">
      <c r="A137" s="39"/>
      <c r="B137" s="41"/>
      <c r="C137" t="s">
        <v>868</v>
      </c>
      <c r="D137" t="s">
        <v>812</v>
      </c>
      <c r="E137" s="3">
        <f t="shared" si="4"/>
        <v>2</v>
      </c>
      <c r="F137">
        <v>51.14</v>
      </c>
      <c r="G137" s="3">
        <v>4</v>
      </c>
      <c r="H137">
        <v>15.39</v>
      </c>
      <c r="I137">
        <v>6.9</v>
      </c>
      <c r="J137">
        <v>3.9</v>
      </c>
      <c r="K137" s="3">
        <v>2</v>
      </c>
      <c r="L137" s="2">
        <v>8</v>
      </c>
      <c r="M137">
        <v>-0.5</v>
      </c>
      <c r="N137">
        <v>-3.5</v>
      </c>
      <c r="O137" s="19">
        <f t="shared" si="5"/>
        <v>1</v>
      </c>
    </row>
    <row r="138" spans="1:15" x14ac:dyDescent="0.25">
      <c r="A138" s="39"/>
      <c r="B138" s="41"/>
      <c r="C138" t="s">
        <v>869</v>
      </c>
      <c r="D138" t="s">
        <v>812</v>
      </c>
      <c r="E138" s="3">
        <f t="shared" si="4"/>
        <v>2</v>
      </c>
      <c r="F138">
        <v>51.14</v>
      </c>
      <c r="G138" s="3">
        <v>4</v>
      </c>
      <c r="H138">
        <v>15.39</v>
      </c>
      <c r="I138">
        <v>6.9</v>
      </c>
      <c r="J138">
        <v>3.9</v>
      </c>
      <c r="K138" s="3">
        <v>2</v>
      </c>
      <c r="L138" s="2">
        <v>8</v>
      </c>
      <c r="M138">
        <v>-0.5</v>
      </c>
      <c r="N138">
        <v>-3.5</v>
      </c>
      <c r="O138" s="19">
        <f t="shared" si="5"/>
        <v>1</v>
      </c>
    </row>
    <row r="139" spans="1:15" x14ac:dyDescent="0.25">
      <c r="A139" s="39"/>
      <c r="B139" s="41"/>
      <c r="C139" t="s">
        <v>870</v>
      </c>
      <c r="D139" t="s">
        <v>812</v>
      </c>
      <c r="E139" s="3">
        <f t="shared" si="4"/>
        <v>2</v>
      </c>
      <c r="F139">
        <v>51.14</v>
      </c>
      <c r="G139" s="3">
        <v>4</v>
      </c>
      <c r="H139">
        <v>15.39</v>
      </c>
      <c r="I139">
        <v>6.9</v>
      </c>
      <c r="J139">
        <v>3.9</v>
      </c>
      <c r="K139" s="3">
        <v>2</v>
      </c>
      <c r="L139" s="2">
        <v>8</v>
      </c>
      <c r="M139">
        <v>-0.5</v>
      </c>
      <c r="N139">
        <v>-3.5</v>
      </c>
      <c r="O139" s="19">
        <f t="shared" si="5"/>
        <v>1</v>
      </c>
    </row>
    <row r="140" spans="1:15" x14ac:dyDescent="0.25">
      <c r="A140" s="39"/>
      <c r="B140" s="41"/>
      <c r="C140" t="s">
        <v>871</v>
      </c>
      <c r="D140" t="s">
        <v>812</v>
      </c>
      <c r="E140" s="3">
        <f t="shared" si="4"/>
        <v>2</v>
      </c>
      <c r="F140">
        <v>51.14</v>
      </c>
      <c r="G140" s="3">
        <v>4</v>
      </c>
      <c r="H140">
        <v>15.39</v>
      </c>
      <c r="I140">
        <v>6.9</v>
      </c>
      <c r="J140">
        <v>3.9</v>
      </c>
      <c r="K140" s="3">
        <v>2</v>
      </c>
      <c r="L140" s="2">
        <v>8</v>
      </c>
      <c r="M140">
        <v>-0.5</v>
      </c>
      <c r="N140">
        <v>-3.5</v>
      </c>
      <c r="O140" s="19">
        <f t="shared" si="5"/>
        <v>1</v>
      </c>
    </row>
    <row r="141" spans="1:15" x14ac:dyDescent="0.25">
      <c r="A141" s="39"/>
      <c r="B141" s="42"/>
      <c r="C141" s="10" t="s">
        <v>872</v>
      </c>
      <c r="D141" s="10" t="s">
        <v>812</v>
      </c>
      <c r="E141" s="11">
        <f t="shared" si="4"/>
        <v>2</v>
      </c>
      <c r="F141" s="10">
        <v>51.14</v>
      </c>
      <c r="G141" s="11">
        <v>4</v>
      </c>
      <c r="H141" s="10">
        <v>15.39</v>
      </c>
      <c r="I141" s="10">
        <v>6.9</v>
      </c>
      <c r="J141" s="10">
        <v>3.9</v>
      </c>
      <c r="K141" s="11">
        <v>2</v>
      </c>
      <c r="L141" s="12">
        <v>8</v>
      </c>
      <c r="M141" s="10">
        <v>-0.5</v>
      </c>
      <c r="N141" s="10">
        <v>-3.5</v>
      </c>
      <c r="O141" s="20">
        <f t="shared" si="5"/>
        <v>1</v>
      </c>
    </row>
    <row r="142" spans="1:15" x14ac:dyDescent="0.25">
      <c r="A142" s="39"/>
      <c r="B142" s="40" t="s">
        <v>6</v>
      </c>
      <c r="C142" s="7" t="s">
        <v>873</v>
      </c>
      <c r="D142" s="7" t="s">
        <v>1492</v>
      </c>
      <c r="E142" s="8">
        <f t="shared" si="4"/>
        <v>4</v>
      </c>
      <c r="F142" s="7">
        <v>76.709999999999994</v>
      </c>
      <c r="G142" s="8">
        <v>4</v>
      </c>
      <c r="H142" s="7">
        <v>23.09</v>
      </c>
      <c r="I142" s="7">
        <v>14.59</v>
      </c>
      <c r="J142" s="7">
        <v>11.59</v>
      </c>
      <c r="K142" s="8">
        <v>4</v>
      </c>
      <c r="L142" s="9">
        <v>12</v>
      </c>
      <c r="M142" s="7">
        <v>3.5</v>
      </c>
      <c r="N142" s="7">
        <v>0.5</v>
      </c>
      <c r="O142" s="18">
        <f t="shared" si="5"/>
        <v>1</v>
      </c>
    </row>
    <row r="143" spans="1:15" x14ac:dyDescent="0.25">
      <c r="A143" s="39"/>
      <c r="B143" s="41"/>
      <c r="C143" t="s">
        <v>874</v>
      </c>
      <c r="D143" t="s">
        <v>1492</v>
      </c>
      <c r="E143" s="3">
        <f t="shared" si="4"/>
        <v>4</v>
      </c>
      <c r="F143">
        <v>76.709999999999994</v>
      </c>
      <c r="G143" s="3">
        <v>4</v>
      </c>
      <c r="H143">
        <v>23.09</v>
      </c>
      <c r="I143">
        <v>14.59</v>
      </c>
      <c r="J143">
        <v>11.59</v>
      </c>
      <c r="K143" s="3">
        <v>4</v>
      </c>
      <c r="L143" s="2">
        <v>12</v>
      </c>
      <c r="M143">
        <v>3.5</v>
      </c>
      <c r="N143">
        <v>0.5</v>
      </c>
      <c r="O143" s="19">
        <f t="shared" si="5"/>
        <v>1</v>
      </c>
    </row>
    <row r="144" spans="1:15" x14ac:dyDescent="0.25">
      <c r="A144" s="39"/>
      <c r="B144" s="41"/>
      <c r="C144" t="s">
        <v>875</v>
      </c>
      <c r="D144" t="s">
        <v>1492</v>
      </c>
      <c r="E144" s="3">
        <f t="shared" si="4"/>
        <v>4</v>
      </c>
      <c r="F144">
        <v>76.709999999999994</v>
      </c>
      <c r="G144" s="3">
        <v>4</v>
      </c>
      <c r="H144">
        <v>23.09</v>
      </c>
      <c r="I144">
        <v>14.59</v>
      </c>
      <c r="J144">
        <v>11.59</v>
      </c>
      <c r="K144" s="3">
        <v>4</v>
      </c>
      <c r="L144" s="2">
        <v>12</v>
      </c>
      <c r="M144">
        <v>3.5</v>
      </c>
      <c r="N144">
        <v>0.5</v>
      </c>
      <c r="O144" s="19">
        <f t="shared" si="5"/>
        <v>1</v>
      </c>
    </row>
    <row r="145" spans="1:15" x14ac:dyDescent="0.25">
      <c r="A145" s="39"/>
      <c r="B145" s="41"/>
      <c r="C145" t="s">
        <v>876</v>
      </c>
      <c r="D145" t="s">
        <v>1492</v>
      </c>
      <c r="E145" s="3">
        <f t="shared" si="4"/>
        <v>4</v>
      </c>
      <c r="F145">
        <v>76.709999999999994</v>
      </c>
      <c r="G145" s="3">
        <v>4</v>
      </c>
      <c r="H145">
        <v>23.09</v>
      </c>
      <c r="I145">
        <v>14.59</v>
      </c>
      <c r="J145">
        <v>11.59</v>
      </c>
      <c r="K145" s="3">
        <v>4</v>
      </c>
      <c r="L145" s="2">
        <v>12</v>
      </c>
      <c r="M145">
        <v>3.5</v>
      </c>
      <c r="N145">
        <v>0.5</v>
      </c>
      <c r="O145" s="19">
        <f t="shared" si="5"/>
        <v>1</v>
      </c>
    </row>
    <row r="146" spans="1:15" x14ac:dyDescent="0.25">
      <c r="A146" s="39"/>
      <c r="B146" s="41"/>
      <c r="C146" t="s">
        <v>877</v>
      </c>
      <c r="D146" t="s">
        <v>1492</v>
      </c>
      <c r="E146" s="3">
        <f t="shared" si="4"/>
        <v>4</v>
      </c>
      <c r="F146">
        <v>76.709999999999994</v>
      </c>
      <c r="G146" s="3">
        <v>4</v>
      </c>
      <c r="H146">
        <v>23.09</v>
      </c>
      <c r="I146">
        <v>14.59</v>
      </c>
      <c r="J146">
        <v>11.59</v>
      </c>
      <c r="K146" s="3">
        <v>4</v>
      </c>
      <c r="L146" s="2">
        <v>12</v>
      </c>
      <c r="M146">
        <v>3.5</v>
      </c>
      <c r="N146">
        <v>0.5</v>
      </c>
      <c r="O146" s="19">
        <f t="shared" si="5"/>
        <v>1</v>
      </c>
    </row>
    <row r="147" spans="1:15" x14ac:dyDescent="0.25">
      <c r="A147" s="39"/>
      <c r="B147" s="41"/>
      <c r="C147" t="s">
        <v>878</v>
      </c>
      <c r="D147" t="s">
        <v>1492</v>
      </c>
      <c r="E147" s="3">
        <f t="shared" si="4"/>
        <v>4</v>
      </c>
      <c r="F147">
        <v>76.709999999999994</v>
      </c>
      <c r="G147" s="3">
        <v>4</v>
      </c>
      <c r="H147">
        <v>23.09</v>
      </c>
      <c r="I147">
        <v>14.59</v>
      </c>
      <c r="J147">
        <v>11.59</v>
      </c>
      <c r="K147" s="3">
        <v>4</v>
      </c>
      <c r="L147" s="2">
        <v>12</v>
      </c>
      <c r="M147">
        <v>3.5</v>
      </c>
      <c r="N147">
        <v>0.5</v>
      </c>
      <c r="O147" s="19">
        <f t="shared" si="5"/>
        <v>1</v>
      </c>
    </row>
    <row r="148" spans="1:15" x14ac:dyDescent="0.25">
      <c r="A148" s="39"/>
      <c r="B148" s="41"/>
      <c r="C148" t="s">
        <v>879</v>
      </c>
      <c r="D148" t="s">
        <v>1492</v>
      </c>
      <c r="E148" s="3">
        <f t="shared" si="4"/>
        <v>4</v>
      </c>
      <c r="F148">
        <v>76.709999999999994</v>
      </c>
      <c r="G148" s="3">
        <v>4</v>
      </c>
      <c r="H148">
        <v>23.09</v>
      </c>
      <c r="I148">
        <v>14.59</v>
      </c>
      <c r="J148">
        <v>11.59</v>
      </c>
      <c r="K148" s="3">
        <v>4</v>
      </c>
      <c r="L148" s="2">
        <v>12</v>
      </c>
      <c r="M148">
        <v>3.5</v>
      </c>
      <c r="N148">
        <v>0.5</v>
      </c>
      <c r="O148" s="19">
        <f t="shared" si="5"/>
        <v>1</v>
      </c>
    </row>
    <row r="149" spans="1:15" x14ac:dyDescent="0.25">
      <c r="A149" s="39"/>
      <c r="B149" s="41"/>
      <c r="C149" t="s">
        <v>880</v>
      </c>
      <c r="D149" t="s">
        <v>1492</v>
      </c>
      <c r="E149" s="3">
        <f t="shared" si="4"/>
        <v>4</v>
      </c>
      <c r="F149">
        <v>76.709999999999994</v>
      </c>
      <c r="G149" s="3">
        <v>4</v>
      </c>
      <c r="H149">
        <v>23.09</v>
      </c>
      <c r="I149">
        <v>14.59</v>
      </c>
      <c r="J149">
        <v>11.59</v>
      </c>
      <c r="K149" s="3">
        <v>4</v>
      </c>
      <c r="L149" s="2">
        <v>12</v>
      </c>
      <c r="M149">
        <v>3.5</v>
      </c>
      <c r="N149">
        <v>0.5</v>
      </c>
      <c r="O149" s="19">
        <f t="shared" si="5"/>
        <v>1</v>
      </c>
    </row>
    <row r="150" spans="1:15" x14ac:dyDescent="0.25">
      <c r="A150" s="39"/>
      <c r="B150" s="41"/>
      <c r="C150" t="s">
        <v>881</v>
      </c>
      <c r="D150" t="s">
        <v>1492</v>
      </c>
      <c r="E150" s="3">
        <f t="shared" si="4"/>
        <v>4</v>
      </c>
      <c r="F150">
        <v>76.709999999999994</v>
      </c>
      <c r="G150" s="3">
        <v>4</v>
      </c>
      <c r="H150">
        <v>23.09</v>
      </c>
      <c r="I150">
        <v>14.59</v>
      </c>
      <c r="J150">
        <v>11.59</v>
      </c>
      <c r="K150" s="3">
        <v>4</v>
      </c>
      <c r="L150" s="2">
        <v>12</v>
      </c>
      <c r="M150">
        <v>3.5</v>
      </c>
      <c r="N150">
        <v>0.5</v>
      </c>
      <c r="O150" s="19">
        <f t="shared" si="5"/>
        <v>1</v>
      </c>
    </row>
    <row r="151" spans="1:15" x14ac:dyDescent="0.25">
      <c r="A151" s="39"/>
      <c r="B151" s="41"/>
      <c r="C151" t="s">
        <v>882</v>
      </c>
      <c r="D151" t="s">
        <v>1492</v>
      </c>
      <c r="E151" s="3">
        <f t="shared" si="4"/>
        <v>4</v>
      </c>
      <c r="F151">
        <v>76.709999999999994</v>
      </c>
      <c r="G151" s="3">
        <v>4</v>
      </c>
      <c r="H151">
        <v>23.09</v>
      </c>
      <c r="I151">
        <v>14.59</v>
      </c>
      <c r="J151">
        <v>11.59</v>
      </c>
      <c r="K151" s="3">
        <v>4</v>
      </c>
      <c r="L151" s="2">
        <v>12</v>
      </c>
      <c r="M151">
        <v>3.5</v>
      </c>
      <c r="N151">
        <v>0.5</v>
      </c>
      <c r="O151" s="19">
        <f t="shared" si="5"/>
        <v>1</v>
      </c>
    </row>
    <row r="152" spans="1:15" x14ac:dyDescent="0.25">
      <c r="A152" s="39"/>
      <c r="B152" s="41"/>
      <c r="C152" t="s">
        <v>893</v>
      </c>
      <c r="D152" t="s">
        <v>1492</v>
      </c>
      <c r="E152" s="3">
        <f t="shared" si="4"/>
        <v>4</v>
      </c>
      <c r="F152">
        <v>71.45</v>
      </c>
      <c r="G152" s="3">
        <v>4</v>
      </c>
      <c r="H152">
        <v>21.51</v>
      </c>
      <c r="I152">
        <v>13.01</v>
      </c>
      <c r="J152">
        <v>10.01</v>
      </c>
      <c r="K152" s="3">
        <v>4</v>
      </c>
      <c r="L152" s="2">
        <v>12</v>
      </c>
      <c r="M152">
        <v>3.5</v>
      </c>
      <c r="N152">
        <v>0.5</v>
      </c>
      <c r="O152" s="19">
        <f t="shared" si="5"/>
        <v>1</v>
      </c>
    </row>
    <row r="153" spans="1:15" x14ac:dyDescent="0.25">
      <c r="A153" s="39"/>
      <c r="B153" s="41"/>
      <c r="C153" t="s">
        <v>894</v>
      </c>
      <c r="D153" t="s">
        <v>1492</v>
      </c>
      <c r="E153" s="3">
        <f t="shared" si="4"/>
        <v>4</v>
      </c>
      <c r="F153">
        <v>71.45</v>
      </c>
      <c r="G153" s="3">
        <v>4</v>
      </c>
      <c r="H153">
        <v>21.51</v>
      </c>
      <c r="I153">
        <v>13.01</v>
      </c>
      <c r="J153">
        <v>10.01</v>
      </c>
      <c r="K153" s="3">
        <v>4</v>
      </c>
      <c r="L153" s="2">
        <v>12</v>
      </c>
      <c r="M153">
        <v>3.5</v>
      </c>
      <c r="N153">
        <v>0.5</v>
      </c>
      <c r="O153" s="19">
        <f t="shared" si="5"/>
        <v>1</v>
      </c>
    </row>
    <row r="154" spans="1:15" x14ac:dyDescent="0.25">
      <c r="A154" s="39"/>
      <c r="B154" s="41"/>
      <c r="C154" t="s">
        <v>895</v>
      </c>
      <c r="D154" t="s">
        <v>1492</v>
      </c>
      <c r="E154" s="3">
        <f t="shared" si="4"/>
        <v>4</v>
      </c>
      <c r="F154">
        <v>71.45</v>
      </c>
      <c r="G154" s="3">
        <v>4</v>
      </c>
      <c r="H154">
        <v>21.51</v>
      </c>
      <c r="I154">
        <v>13.01</v>
      </c>
      <c r="J154">
        <v>10.01</v>
      </c>
      <c r="K154" s="3">
        <v>4</v>
      </c>
      <c r="L154" s="2">
        <v>12</v>
      </c>
      <c r="M154">
        <v>3.5</v>
      </c>
      <c r="N154">
        <v>0.5</v>
      </c>
      <c r="O154" s="19">
        <f t="shared" si="5"/>
        <v>1</v>
      </c>
    </row>
    <row r="155" spans="1:15" x14ac:dyDescent="0.25">
      <c r="A155" s="39"/>
      <c r="B155" s="41"/>
      <c r="C155" t="s">
        <v>896</v>
      </c>
      <c r="D155" t="s">
        <v>1492</v>
      </c>
      <c r="E155" s="3">
        <f t="shared" si="4"/>
        <v>4</v>
      </c>
      <c r="F155">
        <v>71.45</v>
      </c>
      <c r="G155" s="3">
        <v>4</v>
      </c>
      <c r="H155">
        <v>21.51</v>
      </c>
      <c r="I155">
        <v>13.01</v>
      </c>
      <c r="J155">
        <v>10.01</v>
      </c>
      <c r="K155" s="3">
        <v>4</v>
      </c>
      <c r="L155" s="2">
        <v>11.44</v>
      </c>
      <c r="M155">
        <v>2.95</v>
      </c>
      <c r="N155">
        <v>-0.05</v>
      </c>
      <c r="O155" s="19">
        <f t="shared" si="5"/>
        <v>1</v>
      </c>
    </row>
    <row r="156" spans="1:15" x14ac:dyDescent="0.25">
      <c r="A156" s="39"/>
      <c r="B156" s="41"/>
      <c r="C156" t="s">
        <v>897</v>
      </c>
      <c r="D156" t="s">
        <v>1492</v>
      </c>
      <c r="E156" s="3">
        <f t="shared" si="4"/>
        <v>4</v>
      </c>
      <c r="F156">
        <v>71.45</v>
      </c>
      <c r="G156" s="3">
        <v>4</v>
      </c>
      <c r="H156">
        <v>21.51</v>
      </c>
      <c r="I156">
        <v>13.01</v>
      </c>
      <c r="J156">
        <v>10.01</v>
      </c>
      <c r="K156" s="3">
        <v>4</v>
      </c>
      <c r="L156" s="2">
        <v>12</v>
      </c>
      <c r="M156">
        <v>3.5</v>
      </c>
      <c r="N156">
        <v>0.5</v>
      </c>
      <c r="O156" s="19">
        <f t="shared" si="5"/>
        <v>1</v>
      </c>
    </row>
    <row r="157" spans="1:15" x14ac:dyDescent="0.25">
      <c r="A157" s="39"/>
      <c r="B157" s="41"/>
      <c r="C157" t="s">
        <v>898</v>
      </c>
      <c r="D157" t="s">
        <v>1492</v>
      </c>
      <c r="E157" s="3">
        <f t="shared" si="4"/>
        <v>4</v>
      </c>
      <c r="F157">
        <v>71.45</v>
      </c>
      <c r="G157" s="3">
        <v>4</v>
      </c>
      <c r="H157">
        <v>21.51</v>
      </c>
      <c r="I157">
        <v>13.01</v>
      </c>
      <c r="J157">
        <v>10.01</v>
      </c>
      <c r="K157" s="3">
        <v>4</v>
      </c>
      <c r="L157" s="2">
        <v>12</v>
      </c>
      <c r="M157">
        <v>3.5</v>
      </c>
      <c r="N157">
        <v>0.5</v>
      </c>
      <c r="O157" s="19">
        <f t="shared" si="5"/>
        <v>1</v>
      </c>
    </row>
    <row r="158" spans="1:15" x14ac:dyDescent="0.25">
      <c r="A158" s="39"/>
      <c r="B158" s="41"/>
      <c r="C158" t="s">
        <v>899</v>
      </c>
      <c r="D158" t="s">
        <v>1492</v>
      </c>
      <c r="E158" s="3">
        <f t="shared" si="4"/>
        <v>4</v>
      </c>
      <c r="F158">
        <v>71.45</v>
      </c>
      <c r="G158" s="3">
        <v>4</v>
      </c>
      <c r="H158">
        <v>21.51</v>
      </c>
      <c r="I158">
        <v>13.01</v>
      </c>
      <c r="J158">
        <v>10.01</v>
      </c>
      <c r="K158" s="3">
        <v>4</v>
      </c>
      <c r="L158" s="2">
        <v>12</v>
      </c>
      <c r="M158">
        <v>3.5</v>
      </c>
      <c r="N158">
        <v>0.5</v>
      </c>
      <c r="O158" s="19">
        <f t="shared" si="5"/>
        <v>1</v>
      </c>
    </row>
    <row r="159" spans="1:15" x14ac:dyDescent="0.25">
      <c r="A159" s="39"/>
      <c r="B159" s="41"/>
      <c r="C159" t="s">
        <v>900</v>
      </c>
      <c r="D159" t="s">
        <v>1492</v>
      </c>
      <c r="E159" s="3">
        <f t="shared" si="4"/>
        <v>4</v>
      </c>
      <c r="F159">
        <v>71.45</v>
      </c>
      <c r="G159" s="3">
        <v>4</v>
      </c>
      <c r="H159">
        <v>21.51</v>
      </c>
      <c r="I159">
        <v>13.01</v>
      </c>
      <c r="J159">
        <v>10.01</v>
      </c>
      <c r="K159" s="3">
        <v>4</v>
      </c>
      <c r="L159" s="2">
        <v>12</v>
      </c>
      <c r="M159">
        <v>3.5</v>
      </c>
      <c r="N159">
        <v>0.5</v>
      </c>
      <c r="O159" s="19">
        <f t="shared" si="5"/>
        <v>1</v>
      </c>
    </row>
    <row r="160" spans="1:15" x14ac:dyDescent="0.25">
      <c r="A160" s="39"/>
      <c r="B160" s="41"/>
      <c r="C160" t="s">
        <v>901</v>
      </c>
      <c r="D160" t="s">
        <v>1492</v>
      </c>
      <c r="E160" s="3">
        <f t="shared" si="4"/>
        <v>4</v>
      </c>
      <c r="F160">
        <v>71.45</v>
      </c>
      <c r="G160" s="3">
        <v>4</v>
      </c>
      <c r="H160">
        <v>21.51</v>
      </c>
      <c r="I160">
        <v>13.01</v>
      </c>
      <c r="J160">
        <v>10.01</v>
      </c>
      <c r="K160" s="3">
        <v>4</v>
      </c>
      <c r="L160" s="2">
        <v>12</v>
      </c>
      <c r="M160">
        <v>3.5</v>
      </c>
      <c r="N160">
        <v>0.5</v>
      </c>
      <c r="O160" s="19">
        <f t="shared" si="5"/>
        <v>1</v>
      </c>
    </row>
    <row r="161" spans="1:15" x14ac:dyDescent="0.25">
      <c r="A161" s="39"/>
      <c r="B161" s="42"/>
      <c r="C161" s="10" t="s">
        <v>902</v>
      </c>
      <c r="D161" s="10" t="s">
        <v>1492</v>
      </c>
      <c r="E161" s="11">
        <f t="shared" si="4"/>
        <v>4</v>
      </c>
      <c r="F161" s="10">
        <v>71.45</v>
      </c>
      <c r="G161" s="11">
        <v>4</v>
      </c>
      <c r="H161" s="10">
        <v>21.51</v>
      </c>
      <c r="I161" s="10">
        <v>13.01</v>
      </c>
      <c r="J161" s="10">
        <v>10.01</v>
      </c>
      <c r="K161" s="11">
        <v>4</v>
      </c>
      <c r="L161" s="12">
        <v>11.8</v>
      </c>
      <c r="M161" s="10">
        <v>3.3</v>
      </c>
      <c r="N161" s="10">
        <v>0.3</v>
      </c>
      <c r="O161" s="20">
        <f t="shared" si="5"/>
        <v>1</v>
      </c>
    </row>
    <row r="162" spans="1:15" x14ac:dyDescent="0.25">
      <c r="A162" s="39"/>
      <c r="B162" s="40" t="s">
        <v>5</v>
      </c>
      <c r="C162" s="7" t="s">
        <v>883</v>
      </c>
      <c r="D162" s="7" t="s">
        <v>1492</v>
      </c>
      <c r="E162" s="8">
        <f t="shared" si="4"/>
        <v>4</v>
      </c>
      <c r="F162" s="7">
        <v>95.88</v>
      </c>
      <c r="G162" s="8">
        <v>4</v>
      </c>
      <c r="H162" s="7">
        <v>28.86</v>
      </c>
      <c r="I162" s="7">
        <v>20.37</v>
      </c>
      <c r="J162" s="7">
        <v>17.37</v>
      </c>
      <c r="K162" s="8">
        <v>4</v>
      </c>
      <c r="L162" s="9">
        <v>15</v>
      </c>
      <c r="M162" s="7">
        <v>6.5</v>
      </c>
      <c r="N162" s="7">
        <v>3.5</v>
      </c>
      <c r="O162" s="18">
        <f t="shared" si="5"/>
        <v>1</v>
      </c>
    </row>
    <row r="163" spans="1:15" x14ac:dyDescent="0.25">
      <c r="A163" s="39"/>
      <c r="B163" s="41"/>
      <c r="C163" t="s">
        <v>884</v>
      </c>
      <c r="D163" t="s">
        <v>1492</v>
      </c>
      <c r="E163" s="3">
        <f t="shared" si="4"/>
        <v>4</v>
      </c>
      <c r="F163">
        <v>102.28</v>
      </c>
      <c r="G163" s="3">
        <v>4</v>
      </c>
      <c r="H163">
        <v>30.79</v>
      </c>
      <c r="I163">
        <v>22.29</v>
      </c>
      <c r="J163">
        <v>19.29</v>
      </c>
      <c r="K163" s="3">
        <v>4</v>
      </c>
      <c r="L163" s="2">
        <v>16</v>
      </c>
      <c r="M163">
        <v>7.5</v>
      </c>
      <c r="N163">
        <v>4.5</v>
      </c>
      <c r="O163" s="19">
        <f t="shared" si="5"/>
        <v>1</v>
      </c>
    </row>
    <row r="164" spans="1:15" x14ac:dyDescent="0.25">
      <c r="A164" s="39"/>
      <c r="B164" s="41"/>
      <c r="C164" t="s">
        <v>885</v>
      </c>
      <c r="D164" t="s">
        <v>1492</v>
      </c>
      <c r="E164" s="3">
        <f t="shared" si="4"/>
        <v>4</v>
      </c>
      <c r="F164">
        <v>102.28</v>
      </c>
      <c r="G164" s="3">
        <v>4</v>
      </c>
      <c r="H164">
        <v>30.79</v>
      </c>
      <c r="I164">
        <v>22.29</v>
      </c>
      <c r="J164">
        <v>19.29</v>
      </c>
      <c r="K164" s="3">
        <v>4</v>
      </c>
      <c r="L164" s="2">
        <v>16</v>
      </c>
      <c r="M164">
        <v>7.5</v>
      </c>
      <c r="N164">
        <v>4.5</v>
      </c>
      <c r="O164" s="19">
        <f t="shared" si="5"/>
        <v>1</v>
      </c>
    </row>
    <row r="165" spans="1:15" x14ac:dyDescent="0.25">
      <c r="A165" s="39"/>
      <c r="B165" s="41"/>
      <c r="C165" t="s">
        <v>886</v>
      </c>
      <c r="D165" t="s">
        <v>1492</v>
      </c>
      <c r="E165" s="3">
        <f t="shared" si="4"/>
        <v>4</v>
      </c>
      <c r="F165">
        <v>102.28</v>
      </c>
      <c r="G165" s="3">
        <v>4</v>
      </c>
      <c r="H165">
        <v>30.79</v>
      </c>
      <c r="I165">
        <v>22.29</v>
      </c>
      <c r="J165">
        <v>19.29</v>
      </c>
      <c r="K165" s="3">
        <v>4</v>
      </c>
      <c r="L165" s="2">
        <v>16</v>
      </c>
      <c r="M165">
        <v>7.5</v>
      </c>
      <c r="N165">
        <v>4.5</v>
      </c>
      <c r="O165" s="19">
        <f t="shared" si="5"/>
        <v>1</v>
      </c>
    </row>
    <row r="166" spans="1:15" x14ac:dyDescent="0.25">
      <c r="A166" s="39"/>
      <c r="B166" s="41"/>
      <c r="C166" t="s">
        <v>887</v>
      </c>
      <c r="D166" t="s">
        <v>1492</v>
      </c>
      <c r="E166" s="3">
        <f t="shared" si="4"/>
        <v>4</v>
      </c>
      <c r="F166">
        <v>102.28</v>
      </c>
      <c r="G166" s="3">
        <v>4</v>
      </c>
      <c r="H166">
        <v>30.79</v>
      </c>
      <c r="I166">
        <v>22.29</v>
      </c>
      <c r="J166">
        <v>19.29</v>
      </c>
      <c r="K166" s="3">
        <v>4</v>
      </c>
      <c r="L166" s="2">
        <v>16</v>
      </c>
      <c r="M166">
        <v>7.5</v>
      </c>
      <c r="N166">
        <v>4.5</v>
      </c>
      <c r="O166" s="19">
        <f t="shared" si="5"/>
        <v>1</v>
      </c>
    </row>
    <row r="167" spans="1:15" x14ac:dyDescent="0.25">
      <c r="A167" s="39"/>
      <c r="B167" s="41"/>
      <c r="C167" t="s">
        <v>888</v>
      </c>
      <c r="D167" t="s">
        <v>1492</v>
      </c>
      <c r="E167" s="3">
        <f t="shared" si="4"/>
        <v>4</v>
      </c>
      <c r="F167">
        <v>102.28</v>
      </c>
      <c r="G167" s="3">
        <v>4</v>
      </c>
      <c r="H167">
        <v>30.79</v>
      </c>
      <c r="I167">
        <v>22.29</v>
      </c>
      <c r="J167">
        <v>19.29</v>
      </c>
      <c r="K167" s="3">
        <v>4</v>
      </c>
      <c r="L167" s="2">
        <v>16</v>
      </c>
      <c r="M167">
        <v>7.5</v>
      </c>
      <c r="N167">
        <v>4.5</v>
      </c>
      <c r="O167" s="19">
        <f t="shared" si="5"/>
        <v>1</v>
      </c>
    </row>
    <row r="168" spans="1:15" x14ac:dyDescent="0.25">
      <c r="A168" s="39"/>
      <c r="B168" s="41"/>
      <c r="C168" t="s">
        <v>889</v>
      </c>
      <c r="D168" t="s">
        <v>1492</v>
      </c>
      <c r="E168" s="3">
        <f t="shared" si="4"/>
        <v>4</v>
      </c>
      <c r="F168">
        <v>102.28</v>
      </c>
      <c r="G168" s="3">
        <v>4</v>
      </c>
      <c r="H168">
        <v>30.79</v>
      </c>
      <c r="I168">
        <v>22.29</v>
      </c>
      <c r="J168">
        <v>19.29</v>
      </c>
      <c r="K168" s="3">
        <v>4</v>
      </c>
      <c r="L168" s="2">
        <v>16</v>
      </c>
      <c r="M168">
        <v>7.5</v>
      </c>
      <c r="N168">
        <v>4.5</v>
      </c>
      <c r="O168" s="19">
        <f t="shared" si="5"/>
        <v>1</v>
      </c>
    </row>
    <row r="169" spans="1:15" x14ac:dyDescent="0.25">
      <c r="A169" s="39"/>
      <c r="B169" s="41"/>
      <c r="C169" t="s">
        <v>890</v>
      </c>
      <c r="D169" t="s">
        <v>1492</v>
      </c>
      <c r="E169" s="3">
        <f t="shared" si="4"/>
        <v>4</v>
      </c>
      <c r="F169">
        <v>102.28</v>
      </c>
      <c r="G169" s="3">
        <v>4</v>
      </c>
      <c r="H169">
        <v>30.79</v>
      </c>
      <c r="I169">
        <v>22.29</v>
      </c>
      <c r="J169">
        <v>19.29</v>
      </c>
      <c r="K169" s="3">
        <v>4</v>
      </c>
      <c r="L169" s="2">
        <v>16</v>
      </c>
      <c r="M169">
        <v>7.5</v>
      </c>
      <c r="N169">
        <v>4.5</v>
      </c>
      <c r="O169" s="19">
        <f t="shared" si="5"/>
        <v>1</v>
      </c>
    </row>
    <row r="170" spans="1:15" x14ac:dyDescent="0.25">
      <c r="A170" s="39"/>
      <c r="B170" s="41"/>
      <c r="C170" t="s">
        <v>891</v>
      </c>
      <c r="D170" t="s">
        <v>1492</v>
      </c>
      <c r="E170" s="3">
        <f t="shared" si="4"/>
        <v>4</v>
      </c>
      <c r="F170">
        <v>102.28</v>
      </c>
      <c r="G170" s="3">
        <v>4</v>
      </c>
      <c r="H170">
        <v>30.79</v>
      </c>
      <c r="I170">
        <v>22.29</v>
      </c>
      <c r="J170">
        <v>19.29</v>
      </c>
      <c r="K170" s="3">
        <v>4</v>
      </c>
      <c r="L170" s="2">
        <v>16</v>
      </c>
      <c r="M170">
        <v>7.5</v>
      </c>
      <c r="N170">
        <v>4.5</v>
      </c>
      <c r="O170" s="19">
        <f t="shared" si="5"/>
        <v>1</v>
      </c>
    </row>
    <row r="171" spans="1:15" x14ac:dyDescent="0.25">
      <c r="A171" s="39"/>
      <c r="B171" s="41"/>
      <c r="C171" t="s">
        <v>892</v>
      </c>
      <c r="D171" t="s">
        <v>1492</v>
      </c>
      <c r="E171" s="3">
        <f t="shared" si="4"/>
        <v>4</v>
      </c>
      <c r="F171">
        <v>102.28</v>
      </c>
      <c r="G171" s="3">
        <v>4</v>
      </c>
      <c r="H171">
        <v>30.79</v>
      </c>
      <c r="I171">
        <v>22.29</v>
      </c>
      <c r="J171">
        <v>19.29</v>
      </c>
      <c r="K171" s="3">
        <v>4</v>
      </c>
      <c r="L171" s="2">
        <v>16</v>
      </c>
      <c r="M171">
        <v>7.5</v>
      </c>
      <c r="N171">
        <v>4.5</v>
      </c>
      <c r="O171" s="19">
        <f t="shared" si="5"/>
        <v>1</v>
      </c>
    </row>
    <row r="172" spans="1:15" x14ac:dyDescent="0.25">
      <c r="A172" s="39"/>
      <c r="B172" s="41"/>
      <c r="C172" t="s">
        <v>903</v>
      </c>
      <c r="D172" t="s">
        <v>1492</v>
      </c>
      <c r="E172" s="3">
        <f t="shared" si="4"/>
        <v>4</v>
      </c>
      <c r="F172">
        <v>95.27</v>
      </c>
      <c r="G172" s="3">
        <v>4</v>
      </c>
      <c r="H172">
        <v>28.68</v>
      </c>
      <c r="I172">
        <v>20.18</v>
      </c>
      <c r="J172">
        <v>17.18</v>
      </c>
      <c r="K172" s="3">
        <v>4</v>
      </c>
      <c r="L172" s="2">
        <v>16</v>
      </c>
      <c r="M172">
        <v>7.5</v>
      </c>
      <c r="N172">
        <v>4.5</v>
      </c>
      <c r="O172" s="19">
        <f t="shared" si="5"/>
        <v>1</v>
      </c>
    </row>
    <row r="173" spans="1:15" x14ac:dyDescent="0.25">
      <c r="A173" s="39"/>
      <c r="B173" s="41"/>
      <c r="C173" t="s">
        <v>904</v>
      </c>
      <c r="D173" t="s">
        <v>1492</v>
      </c>
      <c r="E173" s="3">
        <f t="shared" si="4"/>
        <v>4</v>
      </c>
      <c r="F173">
        <v>95.27</v>
      </c>
      <c r="G173" s="3">
        <v>4</v>
      </c>
      <c r="H173">
        <v>28.68</v>
      </c>
      <c r="I173">
        <v>20.18</v>
      </c>
      <c r="J173">
        <v>17.18</v>
      </c>
      <c r="K173" s="3">
        <v>4</v>
      </c>
      <c r="L173" s="2">
        <v>16</v>
      </c>
      <c r="M173">
        <v>7.5</v>
      </c>
      <c r="N173">
        <v>4.5</v>
      </c>
      <c r="O173" s="19">
        <f t="shared" si="5"/>
        <v>1</v>
      </c>
    </row>
    <row r="174" spans="1:15" x14ac:dyDescent="0.25">
      <c r="A174" s="39"/>
      <c r="B174" s="41"/>
      <c r="C174" t="s">
        <v>905</v>
      </c>
      <c r="D174" t="s">
        <v>1492</v>
      </c>
      <c r="E174" s="3">
        <f t="shared" si="4"/>
        <v>4</v>
      </c>
      <c r="F174">
        <v>95.27</v>
      </c>
      <c r="G174" s="3">
        <v>4</v>
      </c>
      <c r="H174">
        <v>28.68</v>
      </c>
      <c r="I174">
        <v>20.18</v>
      </c>
      <c r="J174">
        <v>17.18</v>
      </c>
      <c r="K174" s="3">
        <v>4</v>
      </c>
      <c r="L174" s="2">
        <v>16</v>
      </c>
      <c r="M174">
        <v>7.5</v>
      </c>
      <c r="N174">
        <v>4.5</v>
      </c>
      <c r="O174" s="19">
        <f t="shared" si="5"/>
        <v>1</v>
      </c>
    </row>
    <row r="175" spans="1:15" x14ac:dyDescent="0.25">
      <c r="A175" s="39"/>
      <c r="B175" s="41"/>
      <c r="C175" t="s">
        <v>906</v>
      </c>
      <c r="D175" t="s">
        <v>1492</v>
      </c>
      <c r="E175" s="3">
        <f t="shared" si="4"/>
        <v>4</v>
      </c>
      <c r="F175">
        <v>95.27</v>
      </c>
      <c r="G175" s="3">
        <v>4</v>
      </c>
      <c r="H175">
        <v>28.68</v>
      </c>
      <c r="I175">
        <v>20.18</v>
      </c>
      <c r="J175">
        <v>17.18</v>
      </c>
      <c r="K175" s="3">
        <v>4</v>
      </c>
      <c r="L175" s="2">
        <v>16</v>
      </c>
      <c r="M175">
        <v>7.5</v>
      </c>
      <c r="N175">
        <v>4.5</v>
      </c>
      <c r="O175" s="19">
        <f t="shared" si="5"/>
        <v>1</v>
      </c>
    </row>
    <row r="176" spans="1:15" x14ac:dyDescent="0.25">
      <c r="A176" s="39"/>
      <c r="B176" s="41"/>
      <c r="C176" t="s">
        <v>907</v>
      </c>
      <c r="D176" t="s">
        <v>1492</v>
      </c>
      <c r="E176" s="3">
        <f t="shared" si="4"/>
        <v>4</v>
      </c>
      <c r="F176">
        <v>95.27</v>
      </c>
      <c r="G176" s="3">
        <v>4</v>
      </c>
      <c r="H176">
        <v>28.68</v>
      </c>
      <c r="I176">
        <v>20.18</v>
      </c>
      <c r="J176">
        <v>17.18</v>
      </c>
      <c r="K176" s="3">
        <v>4</v>
      </c>
      <c r="L176" s="2">
        <v>16</v>
      </c>
      <c r="M176">
        <v>7.5</v>
      </c>
      <c r="N176">
        <v>4.5</v>
      </c>
      <c r="O176" s="19">
        <f t="shared" si="5"/>
        <v>1</v>
      </c>
    </row>
    <row r="177" spans="1:15" x14ac:dyDescent="0.25">
      <c r="A177" s="39"/>
      <c r="B177" s="41"/>
      <c r="C177" t="s">
        <v>908</v>
      </c>
      <c r="D177" t="s">
        <v>1492</v>
      </c>
      <c r="E177" s="3">
        <f t="shared" si="4"/>
        <v>4</v>
      </c>
      <c r="F177">
        <v>95.27</v>
      </c>
      <c r="G177" s="3">
        <v>4</v>
      </c>
      <c r="H177">
        <v>28.68</v>
      </c>
      <c r="I177">
        <v>20.18</v>
      </c>
      <c r="J177">
        <v>17.18</v>
      </c>
      <c r="K177" s="3">
        <v>4</v>
      </c>
      <c r="L177" s="2">
        <v>16</v>
      </c>
      <c r="M177">
        <v>7.5</v>
      </c>
      <c r="N177">
        <v>4.5</v>
      </c>
      <c r="O177" s="19">
        <f t="shared" si="5"/>
        <v>1</v>
      </c>
    </row>
    <row r="178" spans="1:15" x14ac:dyDescent="0.25">
      <c r="A178" s="39"/>
      <c r="B178" s="41"/>
      <c r="C178" t="s">
        <v>909</v>
      </c>
      <c r="D178" t="s">
        <v>1492</v>
      </c>
      <c r="E178" s="3">
        <f t="shared" si="4"/>
        <v>4</v>
      </c>
      <c r="F178">
        <v>95.27</v>
      </c>
      <c r="G178" s="3">
        <v>4</v>
      </c>
      <c r="H178">
        <v>28.68</v>
      </c>
      <c r="I178">
        <v>20.18</v>
      </c>
      <c r="J178">
        <v>17.18</v>
      </c>
      <c r="K178" s="3">
        <v>4</v>
      </c>
      <c r="L178" s="2">
        <v>16</v>
      </c>
      <c r="M178">
        <v>7.5</v>
      </c>
      <c r="N178">
        <v>4.5</v>
      </c>
      <c r="O178" s="19">
        <f t="shared" si="5"/>
        <v>1</v>
      </c>
    </row>
    <row r="179" spans="1:15" x14ac:dyDescent="0.25">
      <c r="A179" s="39"/>
      <c r="B179" s="41"/>
      <c r="C179" t="s">
        <v>910</v>
      </c>
      <c r="D179" t="s">
        <v>1492</v>
      </c>
      <c r="E179" s="3">
        <f t="shared" si="4"/>
        <v>4</v>
      </c>
      <c r="F179">
        <v>95.27</v>
      </c>
      <c r="G179" s="3">
        <v>4</v>
      </c>
      <c r="H179">
        <v>28.68</v>
      </c>
      <c r="I179">
        <v>20.18</v>
      </c>
      <c r="J179">
        <v>17.18</v>
      </c>
      <c r="K179" s="3">
        <v>4</v>
      </c>
      <c r="L179" s="2">
        <v>16</v>
      </c>
      <c r="M179">
        <v>7.5</v>
      </c>
      <c r="N179">
        <v>4.5</v>
      </c>
      <c r="O179" s="19">
        <f t="shared" si="5"/>
        <v>1</v>
      </c>
    </row>
    <row r="180" spans="1:15" x14ac:dyDescent="0.25">
      <c r="A180" s="39"/>
      <c r="B180" s="41"/>
      <c r="C180" t="s">
        <v>911</v>
      </c>
      <c r="D180" t="s">
        <v>1492</v>
      </c>
      <c r="E180" s="3">
        <f t="shared" si="4"/>
        <v>4</v>
      </c>
      <c r="F180">
        <v>95.27</v>
      </c>
      <c r="G180" s="3">
        <v>4</v>
      </c>
      <c r="H180">
        <v>28.68</v>
      </c>
      <c r="I180">
        <v>20.18</v>
      </c>
      <c r="J180">
        <v>17.18</v>
      </c>
      <c r="K180" s="3">
        <v>4</v>
      </c>
      <c r="L180" s="2">
        <v>16</v>
      </c>
      <c r="M180">
        <v>7.5</v>
      </c>
      <c r="N180">
        <v>4.5</v>
      </c>
      <c r="O180" s="19">
        <f t="shared" si="5"/>
        <v>1</v>
      </c>
    </row>
    <row r="181" spans="1:15" x14ac:dyDescent="0.25">
      <c r="A181" s="39"/>
      <c r="B181" s="42"/>
      <c r="C181" s="10" t="s">
        <v>912</v>
      </c>
      <c r="D181" s="10" t="s">
        <v>1492</v>
      </c>
      <c r="E181" s="11">
        <f t="shared" si="4"/>
        <v>4</v>
      </c>
      <c r="F181" s="10">
        <v>95.27</v>
      </c>
      <c r="G181" s="11">
        <v>4</v>
      </c>
      <c r="H181" s="10">
        <v>28.68</v>
      </c>
      <c r="I181" s="10">
        <v>20.18</v>
      </c>
      <c r="J181" s="10">
        <v>17.18</v>
      </c>
      <c r="K181" s="11">
        <v>4</v>
      </c>
      <c r="L181" s="12">
        <v>16</v>
      </c>
      <c r="M181" s="10">
        <v>7.5</v>
      </c>
      <c r="N181" s="10">
        <v>4.5</v>
      </c>
      <c r="O181" s="20">
        <f t="shared" si="5"/>
        <v>1</v>
      </c>
    </row>
    <row r="182" spans="1:15" x14ac:dyDescent="0.25">
      <c r="A182" s="39" t="s">
        <v>3</v>
      </c>
      <c r="B182" s="40" t="s">
        <v>4</v>
      </c>
      <c r="C182" s="7" t="s">
        <v>913</v>
      </c>
      <c r="D182" s="7" t="s">
        <v>812</v>
      </c>
      <c r="E182" s="8">
        <f t="shared" si="4"/>
        <v>2</v>
      </c>
      <c r="F182" s="7">
        <v>52.44</v>
      </c>
      <c r="G182" s="8">
        <v>4</v>
      </c>
      <c r="H182" s="7">
        <v>15.79</v>
      </c>
      <c r="I182" s="7">
        <v>7.29</v>
      </c>
      <c r="J182" s="7">
        <v>4.29</v>
      </c>
      <c r="K182" s="8">
        <v>2</v>
      </c>
      <c r="L182" s="9">
        <v>8</v>
      </c>
      <c r="M182" s="7">
        <v>-0.5</v>
      </c>
      <c r="N182" s="7">
        <v>-3.5</v>
      </c>
      <c r="O182" s="18">
        <f t="shared" si="5"/>
        <v>1</v>
      </c>
    </row>
    <row r="183" spans="1:15" x14ac:dyDescent="0.25">
      <c r="A183" s="39"/>
      <c r="B183" s="41"/>
      <c r="C183" t="s">
        <v>914</v>
      </c>
      <c r="D183" t="s">
        <v>812</v>
      </c>
      <c r="E183" s="3">
        <f t="shared" si="4"/>
        <v>2</v>
      </c>
      <c r="F183">
        <v>52.44</v>
      </c>
      <c r="G183" s="3">
        <v>4</v>
      </c>
      <c r="H183">
        <v>15.79</v>
      </c>
      <c r="I183">
        <v>7.29</v>
      </c>
      <c r="J183">
        <v>4.29</v>
      </c>
      <c r="K183" s="3">
        <v>2</v>
      </c>
      <c r="L183" s="2">
        <v>8</v>
      </c>
      <c r="M183">
        <v>-0.5</v>
      </c>
      <c r="N183">
        <v>-3.5</v>
      </c>
      <c r="O183" s="19">
        <f t="shared" si="5"/>
        <v>1</v>
      </c>
    </row>
    <row r="184" spans="1:15" x14ac:dyDescent="0.25">
      <c r="A184" s="39"/>
      <c r="B184" s="41"/>
      <c r="C184" t="s">
        <v>915</v>
      </c>
      <c r="D184" t="s">
        <v>812</v>
      </c>
      <c r="E184" s="3">
        <f t="shared" si="4"/>
        <v>2</v>
      </c>
      <c r="F184">
        <v>52.44</v>
      </c>
      <c r="G184" s="3">
        <v>4</v>
      </c>
      <c r="H184">
        <v>15.79</v>
      </c>
      <c r="I184">
        <v>7.29</v>
      </c>
      <c r="J184">
        <v>4.29</v>
      </c>
      <c r="K184" s="3">
        <v>2</v>
      </c>
      <c r="L184" s="2">
        <v>8</v>
      </c>
      <c r="M184">
        <v>-0.5</v>
      </c>
      <c r="N184">
        <v>-3.5</v>
      </c>
      <c r="O184" s="19">
        <f t="shared" si="5"/>
        <v>1</v>
      </c>
    </row>
    <row r="185" spans="1:15" x14ac:dyDescent="0.25">
      <c r="A185" s="39"/>
      <c r="B185" s="41"/>
      <c r="C185" t="s">
        <v>916</v>
      </c>
      <c r="D185" t="s">
        <v>812</v>
      </c>
      <c r="E185" s="3">
        <f t="shared" si="4"/>
        <v>2</v>
      </c>
      <c r="F185">
        <v>52.44</v>
      </c>
      <c r="G185" s="3">
        <v>4</v>
      </c>
      <c r="H185">
        <v>15.79</v>
      </c>
      <c r="I185">
        <v>7.29</v>
      </c>
      <c r="J185">
        <v>4.29</v>
      </c>
      <c r="K185" s="3">
        <v>2</v>
      </c>
      <c r="L185" s="2">
        <v>8</v>
      </c>
      <c r="M185">
        <v>-0.5</v>
      </c>
      <c r="N185">
        <v>-3.5</v>
      </c>
      <c r="O185" s="19">
        <f t="shared" si="5"/>
        <v>1</v>
      </c>
    </row>
    <row r="186" spans="1:15" x14ac:dyDescent="0.25">
      <c r="A186" s="39"/>
      <c r="B186" s="41"/>
      <c r="C186" t="s">
        <v>917</v>
      </c>
      <c r="D186" t="s">
        <v>812</v>
      </c>
      <c r="E186" s="3">
        <f t="shared" si="4"/>
        <v>2</v>
      </c>
      <c r="F186">
        <v>52.44</v>
      </c>
      <c r="G186" s="3">
        <v>4</v>
      </c>
      <c r="H186">
        <v>15.79</v>
      </c>
      <c r="I186">
        <v>7.29</v>
      </c>
      <c r="J186">
        <v>4.29</v>
      </c>
      <c r="K186" s="3">
        <v>2</v>
      </c>
      <c r="L186" s="2">
        <v>8</v>
      </c>
      <c r="M186">
        <v>-0.5</v>
      </c>
      <c r="N186">
        <v>-3.5</v>
      </c>
      <c r="O186" s="19">
        <f t="shared" si="5"/>
        <v>1</v>
      </c>
    </row>
    <row r="187" spans="1:15" x14ac:dyDescent="0.25">
      <c r="A187" s="39"/>
      <c r="B187" s="41"/>
      <c r="C187" t="s">
        <v>918</v>
      </c>
      <c r="D187" t="s">
        <v>812</v>
      </c>
      <c r="E187" s="3">
        <f t="shared" si="4"/>
        <v>2</v>
      </c>
      <c r="F187">
        <v>52.44</v>
      </c>
      <c r="G187" s="3">
        <v>4</v>
      </c>
      <c r="H187">
        <v>15.79</v>
      </c>
      <c r="I187">
        <v>7.29</v>
      </c>
      <c r="J187">
        <v>4.29</v>
      </c>
      <c r="K187" s="3">
        <v>2</v>
      </c>
      <c r="L187" s="2">
        <v>8</v>
      </c>
      <c r="M187">
        <v>-0.5</v>
      </c>
      <c r="N187">
        <v>-3.5</v>
      </c>
      <c r="O187" s="19">
        <f t="shared" si="5"/>
        <v>1</v>
      </c>
    </row>
    <row r="188" spans="1:15" x14ac:dyDescent="0.25">
      <c r="A188" s="39"/>
      <c r="B188" s="41"/>
      <c r="C188" t="s">
        <v>919</v>
      </c>
      <c r="D188" t="s">
        <v>812</v>
      </c>
      <c r="E188" s="3">
        <f t="shared" si="4"/>
        <v>2</v>
      </c>
      <c r="F188">
        <v>52.44</v>
      </c>
      <c r="G188" s="3">
        <v>4</v>
      </c>
      <c r="H188">
        <v>15.79</v>
      </c>
      <c r="I188">
        <v>7.29</v>
      </c>
      <c r="J188">
        <v>4.29</v>
      </c>
      <c r="K188" s="3">
        <v>2</v>
      </c>
      <c r="L188" s="2">
        <v>8</v>
      </c>
      <c r="M188">
        <v>-0.5</v>
      </c>
      <c r="N188">
        <v>-3.5</v>
      </c>
      <c r="O188" s="19">
        <f t="shared" si="5"/>
        <v>1</v>
      </c>
    </row>
    <row r="189" spans="1:15" x14ac:dyDescent="0.25">
      <c r="A189" s="39"/>
      <c r="B189" s="41"/>
      <c r="C189" t="s">
        <v>920</v>
      </c>
      <c r="D189" t="s">
        <v>812</v>
      </c>
      <c r="E189" s="3">
        <f t="shared" si="4"/>
        <v>2</v>
      </c>
      <c r="F189">
        <v>52.44</v>
      </c>
      <c r="G189" s="3">
        <v>4</v>
      </c>
      <c r="H189">
        <v>15.79</v>
      </c>
      <c r="I189">
        <v>7.29</v>
      </c>
      <c r="J189">
        <v>4.29</v>
      </c>
      <c r="K189" s="3">
        <v>2</v>
      </c>
      <c r="L189" s="2">
        <v>8</v>
      </c>
      <c r="M189">
        <v>-0.5</v>
      </c>
      <c r="N189">
        <v>-3.5</v>
      </c>
      <c r="O189" s="19">
        <f t="shared" si="5"/>
        <v>1</v>
      </c>
    </row>
    <row r="190" spans="1:15" x14ac:dyDescent="0.25">
      <c r="A190" s="39"/>
      <c r="B190" s="41"/>
      <c r="C190" t="s">
        <v>921</v>
      </c>
      <c r="D190" t="s">
        <v>812</v>
      </c>
      <c r="E190" s="3">
        <f t="shared" si="4"/>
        <v>2</v>
      </c>
      <c r="F190">
        <v>52.44</v>
      </c>
      <c r="G190" s="3">
        <v>4</v>
      </c>
      <c r="H190">
        <v>15.79</v>
      </c>
      <c r="I190">
        <v>7.29</v>
      </c>
      <c r="J190">
        <v>4.29</v>
      </c>
      <c r="K190" s="3">
        <v>2</v>
      </c>
      <c r="L190" s="2">
        <v>8</v>
      </c>
      <c r="M190">
        <v>-0.5</v>
      </c>
      <c r="N190">
        <v>-3.5</v>
      </c>
      <c r="O190" s="19">
        <f t="shared" si="5"/>
        <v>1</v>
      </c>
    </row>
    <row r="191" spans="1:15" x14ac:dyDescent="0.25">
      <c r="A191" s="39"/>
      <c r="B191" s="41"/>
      <c r="C191" t="s">
        <v>922</v>
      </c>
      <c r="D191" t="s">
        <v>812</v>
      </c>
      <c r="E191" s="3">
        <f t="shared" si="4"/>
        <v>2</v>
      </c>
      <c r="F191">
        <v>52.44</v>
      </c>
      <c r="G191" s="3">
        <v>4</v>
      </c>
      <c r="H191">
        <v>15.79</v>
      </c>
      <c r="I191">
        <v>7.29</v>
      </c>
      <c r="J191">
        <v>4.29</v>
      </c>
      <c r="K191" s="3">
        <v>2</v>
      </c>
      <c r="L191" s="2">
        <v>8</v>
      </c>
      <c r="M191">
        <v>-0.5</v>
      </c>
      <c r="N191">
        <v>-3.5</v>
      </c>
      <c r="O191" s="19">
        <f t="shared" si="5"/>
        <v>1</v>
      </c>
    </row>
    <row r="192" spans="1:15" x14ac:dyDescent="0.25">
      <c r="A192" s="39"/>
      <c r="B192" s="41"/>
      <c r="C192" t="s">
        <v>923</v>
      </c>
      <c r="D192" t="s">
        <v>812</v>
      </c>
      <c r="E192" s="3">
        <f t="shared" si="4"/>
        <v>2</v>
      </c>
      <c r="F192">
        <v>52.44</v>
      </c>
      <c r="G192" s="3">
        <v>4</v>
      </c>
      <c r="H192">
        <v>15.79</v>
      </c>
      <c r="I192">
        <v>7.29</v>
      </c>
      <c r="J192">
        <v>4.29</v>
      </c>
      <c r="K192" s="3">
        <v>2</v>
      </c>
      <c r="L192" s="2">
        <v>8</v>
      </c>
      <c r="M192">
        <v>-0.5</v>
      </c>
      <c r="N192">
        <v>-3.5</v>
      </c>
      <c r="O192" s="19">
        <f t="shared" si="5"/>
        <v>1</v>
      </c>
    </row>
    <row r="193" spans="1:15" x14ac:dyDescent="0.25">
      <c r="A193" s="39"/>
      <c r="B193" s="41"/>
      <c r="C193" t="s">
        <v>924</v>
      </c>
      <c r="D193" t="s">
        <v>812</v>
      </c>
      <c r="E193" s="3">
        <f t="shared" si="4"/>
        <v>2</v>
      </c>
      <c r="F193">
        <v>52.44</v>
      </c>
      <c r="G193" s="3">
        <v>4</v>
      </c>
      <c r="H193">
        <v>15.79</v>
      </c>
      <c r="I193">
        <v>7.29</v>
      </c>
      <c r="J193">
        <v>4.29</v>
      </c>
      <c r="K193" s="3">
        <v>2</v>
      </c>
      <c r="L193" s="2">
        <v>8</v>
      </c>
      <c r="M193">
        <v>-0.5</v>
      </c>
      <c r="N193">
        <v>-3.5</v>
      </c>
      <c r="O193" s="19">
        <f t="shared" si="5"/>
        <v>1</v>
      </c>
    </row>
    <row r="194" spans="1:15" x14ac:dyDescent="0.25">
      <c r="A194" s="39"/>
      <c r="B194" s="41"/>
      <c r="C194" t="s">
        <v>925</v>
      </c>
      <c r="D194" t="s">
        <v>812</v>
      </c>
      <c r="E194" s="3">
        <f t="shared" si="4"/>
        <v>2</v>
      </c>
      <c r="F194">
        <v>52.44</v>
      </c>
      <c r="G194" s="3">
        <v>4</v>
      </c>
      <c r="H194">
        <v>15.79</v>
      </c>
      <c r="I194">
        <v>7.29</v>
      </c>
      <c r="J194">
        <v>4.29</v>
      </c>
      <c r="K194" s="3">
        <v>2</v>
      </c>
      <c r="L194" s="2">
        <v>8</v>
      </c>
      <c r="M194">
        <v>-0.5</v>
      </c>
      <c r="N194">
        <v>-3.5</v>
      </c>
      <c r="O194" s="19">
        <f t="shared" si="5"/>
        <v>1</v>
      </c>
    </row>
    <row r="195" spans="1:15" x14ac:dyDescent="0.25">
      <c r="A195" s="39"/>
      <c r="B195" s="41"/>
      <c r="C195" t="s">
        <v>926</v>
      </c>
      <c r="D195" t="s">
        <v>812</v>
      </c>
      <c r="E195" s="3">
        <f t="shared" ref="E195:E241" si="6">IF(D195="Muito Fraca", 0, IF(D195="Fraca", 1, IF(D195="Razoável", 2, IF(D195="Média", 3, 4))))</f>
        <v>2</v>
      </c>
      <c r="F195">
        <v>52.44</v>
      </c>
      <c r="G195" s="3">
        <v>4</v>
      </c>
      <c r="H195">
        <v>15.79</v>
      </c>
      <c r="I195">
        <v>7.29</v>
      </c>
      <c r="J195">
        <v>4.29</v>
      </c>
      <c r="K195" s="3">
        <v>2</v>
      </c>
      <c r="L195" s="2">
        <v>8</v>
      </c>
      <c r="M195">
        <v>-0.5</v>
      </c>
      <c r="N195">
        <v>-3.5</v>
      </c>
      <c r="O195" s="19">
        <f t="shared" ref="O195:O241" si="7">E195/K195</f>
        <v>1</v>
      </c>
    </row>
    <row r="196" spans="1:15" x14ac:dyDescent="0.25">
      <c r="A196" s="39"/>
      <c r="B196" s="41"/>
      <c r="C196" t="s">
        <v>927</v>
      </c>
      <c r="D196" t="s">
        <v>812</v>
      </c>
      <c r="E196" s="3">
        <f t="shared" si="6"/>
        <v>2</v>
      </c>
      <c r="F196">
        <v>52.44</v>
      </c>
      <c r="G196" s="3">
        <v>4</v>
      </c>
      <c r="H196">
        <v>15.79</v>
      </c>
      <c r="I196">
        <v>7.29</v>
      </c>
      <c r="J196">
        <v>4.29</v>
      </c>
      <c r="K196" s="3">
        <v>2</v>
      </c>
      <c r="L196" s="2">
        <v>8</v>
      </c>
      <c r="M196">
        <v>-0.5</v>
      </c>
      <c r="N196">
        <v>-3.5</v>
      </c>
      <c r="O196" s="19">
        <f t="shared" si="7"/>
        <v>1</v>
      </c>
    </row>
    <row r="197" spans="1:15" x14ac:dyDescent="0.25">
      <c r="A197" s="39"/>
      <c r="B197" s="41"/>
      <c r="C197" t="s">
        <v>928</v>
      </c>
      <c r="D197" t="s">
        <v>812</v>
      </c>
      <c r="E197" s="3">
        <f t="shared" si="6"/>
        <v>2</v>
      </c>
      <c r="F197">
        <v>45.88</v>
      </c>
      <c r="G197" s="3">
        <v>4</v>
      </c>
      <c r="H197">
        <v>13.81</v>
      </c>
      <c r="I197">
        <v>5.31</v>
      </c>
      <c r="J197">
        <v>2.31</v>
      </c>
      <c r="K197" s="3">
        <v>2</v>
      </c>
      <c r="L197" s="2">
        <v>7</v>
      </c>
      <c r="M197">
        <v>-1.5</v>
      </c>
      <c r="N197">
        <v>-4.5</v>
      </c>
      <c r="O197" s="19">
        <f t="shared" si="7"/>
        <v>1</v>
      </c>
    </row>
    <row r="198" spans="1:15" x14ac:dyDescent="0.25">
      <c r="A198" s="39"/>
      <c r="B198" s="41"/>
      <c r="C198" t="s">
        <v>929</v>
      </c>
      <c r="D198" t="s">
        <v>812</v>
      </c>
      <c r="E198" s="3">
        <f t="shared" si="6"/>
        <v>2</v>
      </c>
      <c r="F198">
        <v>52.44</v>
      </c>
      <c r="G198" s="3">
        <v>4</v>
      </c>
      <c r="H198">
        <v>15.79</v>
      </c>
      <c r="I198">
        <v>7.29</v>
      </c>
      <c r="J198">
        <v>4.29</v>
      </c>
      <c r="K198" s="3">
        <v>2</v>
      </c>
      <c r="L198" s="2">
        <v>8</v>
      </c>
      <c r="M198">
        <v>-0.5</v>
      </c>
      <c r="N198">
        <v>-3.5</v>
      </c>
      <c r="O198" s="19">
        <f t="shared" si="7"/>
        <v>1</v>
      </c>
    </row>
    <row r="199" spans="1:15" x14ac:dyDescent="0.25">
      <c r="A199" s="39"/>
      <c r="B199" s="41"/>
      <c r="C199" t="s">
        <v>930</v>
      </c>
      <c r="D199" t="s">
        <v>812</v>
      </c>
      <c r="E199" s="3">
        <f t="shared" si="6"/>
        <v>2</v>
      </c>
      <c r="F199">
        <v>52.44</v>
      </c>
      <c r="G199" s="3">
        <v>4</v>
      </c>
      <c r="H199">
        <v>15.79</v>
      </c>
      <c r="I199">
        <v>7.29</v>
      </c>
      <c r="J199">
        <v>4.29</v>
      </c>
      <c r="K199" s="3">
        <v>2</v>
      </c>
      <c r="L199" s="2">
        <v>8</v>
      </c>
      <c r="M199">
        <v>-0.5</v>
      </c>
      <c r="N199">
        <v>-3.5</v>
      </c>
      <c r="O199" s="19">
        <f t="shared" si="7"/>
        <v>1</v>
      </c>
    </row>
    <row r="200" spans="1:15" x14ac:dyDescent="0.25">
      <c r="A200" s="39"/>
      <c r="B200" s="41"/>
      <c r="C200" t="s">
        <v>931</v>
      </c>
      <c r="D200" t="s">
        <v>812</v>
      </c>
      <c r="E200" s="3">
        <f t="shared" si="6"/>
        <v>2</v>
      </c>
      <c r="F200">
        <v>52.44</v>
      </c>
      <c r="G200" s="3">
        <v>4</v>
      </c>
      <c r="H200">
        <v>15.79</v>
      </c>
      <c r="I200">
        <v>7.29</v>
      </c>
      <c r="J200">
        <v>4.29</v>
      </c>
      <c r="K200" s="3">
        <v>2</v>
      </c>
      <c r="L200" s="2">
        <v>8</v>
      </c>
      <c r="M200">
        <v>-0.5</v>
      </c>
      <c r="N200">
        <v>-3.5</v>
      </c>
      <c r="O200" s="19">
        <f t="shared" si="7"/>
        <v>1</v>
      </c>
    </row>
    <row r="201" spans="1:15" x14ac:dyDescent="0.25">
      <c r="A201" s="39"/>
      <c r="B201" s="42"/>
      <c r="C201" s="10" t="s">
        <v>932</v>
      </c>
      <c r="D201" s="10" t="s">
        <v>812</v>
      </c>
      <c r="E201" s="11">
        <f t="shared" si="6"/>
        <v>2</v>
      </c>
      <c r="F201" s="10">
        <v>52.44</v>
      </c>
      <c r="G201" s="11">
        <v>4</v>
      </c>
      <c r="H201" s="10">
        <v>15.79</v>
      </c>
      <c r="I201" s="10">
        <v>7.29</v>
      </c>
      <c r="J201" s="10">
        <v>4.29</v>
      </c>
      <c r="K201" s="11">
        <v>2</v>
      </c>
      <c r="L201" s="12">
        <v>7.42</v>
      </c>
      <c r="M201" s="10">
        <v>-1.08</v>
      </c>
      <c r="N201" s="10">
        <v>-4.08</v>
      </c>
      <c r="O201" s="20">
        <f t="shared" si="7"/>
        <v>1</v>
      </c>
    </row>
    <row r="202" spans="1:15" x14ac:dyDescent="0.25">
      <c r="A202" s="39"/>
      <c r="B202" s="40" t="s">
        <v>6</v>
      </c>
      <c r="C202" s="7" t="s">
        <v>933</v>
      </c>
      <c r="D202" s="7" t="s">
        <v>1492</v>
      </c>
      <c r="E202" s="8">
        <f t="shared" si="6"/>
        <v>4</v>
      </c>
      <c r="F202" s="7">
        <v>78.66</v>
      </c>
      <c r="G202" s="8">
        <v>4</v>
      </c>
      <c r="H202" s="7">
        <v>23.68</v>
      </c>
      <c r="I202" s="7">
        <v>15.18</v>
      </c>
      <c r="J202" s="7">
        <v>12.18</v>
      </c>
      <c r="K202" s="8">
        <v>4</v>
      </c>
      <c r="L202" s="9">
        <v>12</v>
      </c>
      <c r="M202" s="7">
        <v>3.5</v>
      </c>
      <c r="N202" s="7">
        <v>0.5</v>
      </c>
      <c r="O202" s="18">
        <f t="shared" si="7"/>
        <v>1</v>
      </c>
    </row>
    <row r="203" spans="1:15" x14ac:dyDescent="0.25">
      <c r="A203" s="39"/>
      <c r="B203" s="41"/>
      <c r="C203" t="s">
        <v>934</v>
      </c>
      <c r="D203" t="s">
        <v>1492</v>
      </c>
      <c r="E203" s="3">
        <f t="shared" si="6"/>
        <v>4</v>
      </c>
      <c r="F203">
        <v>78.66</v>
      </c>
      <c r="G203" s="3">
        <v>4</v>
      </c>
      <c r="H203">
        <v>23.68</v>
      </c>
      <c r="I203">
        <v>15.18</v>
      </c>
      <c r="J203">
        <v>12.18</v>
      </c>
      <c r="K203" s="3">
        <v>4</v>
      </c>
      <c r="L203" s="2">
        <v>12</v>
      </c>
      <c r="M203">
        <v>3.5</v>
      </c>
      <c r="N203">
        <v>0.5</v>
      </c>
      <c r="O203" s="19">
        <f t="shared" si="7"/>
        <v>1</v>
      </c>
    </row>
    <row r="204" spans="1:15" x14ac:dyDescent="0.25">
      <c r="A204" s="39"/>
      <c r="B204" s="41"/>
      <c r="C204" t="s">
        <v>935</v>
      </c>
      <c r="D204" t="s">
        <v>1492</v>
      </c>
      <c r="E204" s="3">
        <f t="shared" si="6"/>
        <v>4</v>
      </c>
      <c r="F204">
        <v>78.66</v>
      </c>
      <c r="G204" s="3">
        <v>4</v>
      </c>
      <c r="H204">
        <v>23.68</v>
      </c>
      <c r="I204">
        <v>15.18</v>
      </c>
      <c r="J204">
        <v>12.18</v>
      </c>
      <c r="K204" s="3">
        <v>4</v>
      </c>
      <c r="L204" s="2">
        <v>12</v>
      </c>
      <c r="M204">
        <v>3.5</v>
      </c>
      <c r="N204">
        <v>0.5</v>
      </c>
      <c r="O204" s="19">
        <f t="shared" si="7"/>
        <v>1</v>
      </c>
    </row>
    <row r="205" spans="1:15" x14ac:dyDescent="0.25">
      <c r="A205" s="39"/>
      <c r="B205" s="41"/>
      <c r="C205" t="s">
        <v>936</v>
      </c>
      <c r="D205" t="s">
        <v>1492</v>
      </c>
      <c r="E205" s="3">
        <f t="shared" si="6"/>
        <v>4</v>
      </c>
      <c r="F205">
        <v>78.66</v>
      </c>
      <c r="G205" s="3">
        <v>4</v>
      </c>
      <c r="H205">
        <v>23.68</v>
      </c>
      <c r="I205">
        <v>15.18</v>
      </c>
      <c r="J205">
        <v>12.18</v>
      </c>
      <c r="K205" s="3">
        <v>4</v>
      </c>
      <c r="L205" s="2">
        <v>12</v>
      </c>
      <c r="M205">
        <v>3.5</v>
      </c>
      <c r="N205">
        <v>0.5</v>
      </c>
      <c r="O205" s="19">
        <f t="shared" si="7"/>
        <v>1</v>
      </c>
    </row>
    <row r="206" spans="1:15" x14ac:dyDescent="0.25">
      <c r="A206" s="39"/>
      <c r="B206" s="41"/>
      <c r="C206" t="s">
        <v>937</v>
      </c>
      <c r="D206" t="s">
        <v>1492</v>
      </c>
      <c r="E206" s="3">
        <f t="shared" si="6"/>
        <v>4</v>
      </c>
      <c r="F206">
        <v>78.66</v>
      </c>
      <c r="G206" s="3">
        <v>4</v>
      </c>
      <c r="H206">
        <v>23.68</v>
      </c>
      <c r="I206">
        <v>15.18</v>
      </c>
      <c r="J206">
        <v>12.18</v>
      </c>
      <c r="K206" s="3">
        <v>4</v>
      </c>
      <c r="L206" s="2">
        <v>12</v>
      </c>
      <c r="M206">
        <v>3.5</v>
      </c>
      <c r="N206">
        <v>0.5</v>
      </c>
      <c r="O206" s="19">
        <f t="shared" si="7"/>
        <v>1</v>
      </c>
    </row>
    <row r="207" spans="1:15" x14ac:dyDescent="0.25">
      <c r="A207" s="39"/>
      <c r="B207" s="41"/>
      <c r="C207" t="s">
        <v>938</v>
      </c>
      <c r="D207" t="s">
        <v>1492</v>
      </c>
      <c r="E207" s="3">
        <f t="shared" si="6"/>
        <v>4</v>
      </c>
      <c r="F207">
        <v>78.66</v>
      </c>
      <c r="G207" s="3">
        <v>4</v>
      </c>
      <c r="H207">
        <v>23.68</v>
      </c>
      <c r="I207">
        <v>15.18</v>
      </c>
      <c r="J207">
        <v>12.18</v>
      </c>
      <c r="K207" s="3">
        <v>4</v>
      </c>
      <c r="L207" s="2">
        <v>12</v>
      </c>
      <c r="M207">
        <v>3.5</v>
      </c>
      <c r="N207">
        <v>0.5</v>
      </c>
      <c r="O207" s="19">
        <f t="shared" si="7"/>
        <v>1</v>
      </c>
    </row>
    <row r="208" spans="1:15" x14ac:dyDescent="0.25">
      <c r="A208" s="39"/>
      <c r="B208" s="41"/>
      <c r="C208" t="s">
        <v>939</v>
      </c>
      <c r="D208" t="s">
        <v>1492</v>
      </c>
      <c r="E208" s="3">
        <f t="shared" si="6"/>
        <v>4</v>
      </c>
      <c r="F208">
        <v>78.66</v>
      </c>
      <c r="G208" s="3">
        <v>4</v>
      </c>
      <c r="H208">
        <v>23.68</v>
      </c>
      <c r="I208">
        <v>15.18</v>
      </c>
      <c r="J208">
        <v>12.18</v>
      </c>
      <c r="K208" s="3">
        <v>4</v>
      </c>
      <c r="L208" s="2">
        <v>12</v>
      </c>
      <c r="M208">
        <v>3.5</v>
      </c>
      <c r="N208">
        <v>0.5</v>
      </c>
      <c r="O208" s="19">
        <f t="shared" si="7"/>
        <v>1</v>
      </c>
    </row>
    <row r="209" spans="1:15" x14ac:dyDescent="0.25">
      <c r="A209" s="39"/>
      <c r="B209" s="41"/>
      <c r="C209" t="s">
        <v>940</v>
      </c>
      <c r="D209" t="s">
        <v>1492</v>
      </c>
      <c r="E209" s="3">
        <f t="shared" si="6"/>
        <v>4</v>
      </c>
      <c r="F209">
        <v>78.66</v>
      </c>
      <c r="G209" s="3">
        <v>4</v>
      </c>
      <c r="H209">
        <v>23.68</v>
      </c>
      <c r="I209">
        <v>15.18</v>
      </c>
      <c r="J209">
        <v>12.18</v>
      </c>
      <c r="K209" s="3">
        <v>4</v>
      </c>
      <c r="L209" s="2">
        <v>12</v>
      </c>
      <c r="M209">
        <v>3.5</v>
      </c>
      <c r="N209">
        <v>0.5</v>
      </c>
      <c r="O209" s="19">
        <f t="shared" si="7"/>
        <v>1</v>
      </c>
    </row>
    <row r="210" spans="1:15" x14ac:dyDescent="0.25">
      <c r="A210" s="39"/>
      <c r="B210" s="41"/>
      <c r="C210" t="s">
        <v>941</v>
      </c>
      <c r="D210" t="s">
        <v>1492</v>
      </c>
      <c r="E210" s="3">
        <f t="shared" si="6"/>
        <v>4</v>
      </c>
      <c r="F210">
        <v>72.099999999999994</v>
      </c>
      <c r="G210" s="3">
        <v>4</v>
      </c>
      <c r="H210">
        <v>21.7</v>
      </c>
      <c r="I210">
        <v>13.21</v>
      </c>
      <c r="J210">
        <v>10.210000000000001</v>
      </c>
      <c r="K210" s="3">
        <v>4</v>
      </c>
      <c r="L210" s="2">
        <v>11</v>
      </c>
      <c r="M210">
        <v>2.5</v>
      </c>
      <c r="N210">
        <v>-0.5</v>
      </c>
      <c r="O210" s="19">
        <f t="shared" si="7"/>
        <v>1</v>
      </c>
    </row>
    <row r="211" spans="1:15" x14ac:dyDescent="0.25">
      <c r="A211" s="39"/>
      <c r="B211" s="41"/>
      <c r="C211" t="s">
        <v>942</v>
      </c>
      <c r="D211" t="s">
        <v>1492</v>
      </c>
      <c r="E211" s="3">
        <f t="shared" si="6"/>
        <v>4</v>
      </c>
      <c r="F211">
        <v>78.66</v>
      </c>
      <c r="G211" s="3">
        <v>4</v>
      </c>
      <c r="H211">
        <v>23.68</v>
      </c>
      <c r="I211">
        <v>15.18</v>
      </c>
      <c r="J211">
        <v>12.18</v>
      </c>
      <c r="K211" s="3">
        <v>4</v>
      </c>
      <c r="L211" s="2">
        <v>12</v>
      </c>
      <c r="M211">
        <v>3.5</v>
      </c>
      <c r="N211">
        <v>0.5</v>
      </c>
      <c r="O211" s="19">
        <f t="shared" si="7"/>
        <v>1</v>
      </c>
    </row>
    <row r="212" spans="1:15" x14ac:dyDescent="0.25">
      <c r="A212" s="39"/>
      <c r="B212" s="41"/>
      <c r="C212" t="s">
        <v>943</v>
      </c>
      <c r="D212" t="s">
        <v>1492</v>
      </c>
      <c r="E212" s="3">
        <f t="shared" si="6"/>
        <v>4</v>
      </c>
      <c r="F212">
        <v>78.66</v>
      </c>
      <c r="G212" s="3">
        <v>4</v>
      </c>
      <c r="H212">
        <v>23.68</v>
      </c>
      <c r="I212">
        <v>15.18</v>
      </c>
      <c r="J212">
        <v>12.18</v>
      </c>
      <c r="K212" s="3">
        <v>4</v>
      </c>
      <c r="L212" s="2">
        <v>11.39</v>
      </c>
      <c r="M212">
        <v>2.9</v>
      </c>
      <c r="N212">
        <v>-0.1</v>
      </c>
      <c r="O212" s="19">
        <f t="shared" si="7"/>
        <v>1</v>
      </c>
    </row>
    <row r="213" spans="1:15" x14ac:dyDescent="0.25">
      <c r="A213" s="39"/>
      <c r="B213" s="41"/>
      <c r="C213" t="s">
        <v>944</v>
      </c>
      <c r="D213" t="s">
        <v>1492</v>
      </c>
      <c r="E213" s="3">
        <f t="shared" si="6"/>
        <v>4</v>
      </c>
      <c r="F213">
        <v>78.66</v>
      </c>
      <c r="G213" s="3">
        <v>4</v>
      </c>
      <c r="H213">
        <v>23.68</v>
      </c>
      <c r="I213">
        <v>15.18</v>
      </c>
      <c r="J213">
        <v>12.18</v>
      </c>
      <c r="K213" s="3">
        <v>4</v>
      </c>
      <c r="L213" s="2">
        <v>12</v>
      </c>
      <c r="M213">
        <v>3.5</v>
      </c>
      <c r="N213">
        <v>0.5</v>
      </c>
      <c r="O213" s="19">
        <f t="shared" si="7"/>
        <v>1</v>
      </c>
    </row>
    <row r="214" spans="1:15" x14ac:dyDescent="0.25">
      <c r="A214" s="39"/>
      <c r="B214" s="41"/>
      <c r="C214" t="s">
        <v>945</v>
      </c>
      <c r="D214" t="s">
        <v>1492</v>
      </c>
      <c r="E214" s="3">
        <f t="shared" si="6"/>
        <v>4</v>
      </c>
      <c r="F214">
        <v>78.66</v>
      </c>
      <c r="G214" s="3">
        <v>4</v>
      </c>
      <c r="H214">
        <v>23.68</v>
      </c>
      <c r="I214">
        <v>15.18</v>
      </c>
      <c r="J214">
        <v>12.18</v>
      </c>
      <c r="K214" s="3">
        <v>4</v>
      </c>
      <c r="L214" s="2">
        <v>12</v>
      </c>
      <c r="M214">
        <v>3.5</v>
      </c>
      <c r="N214">
        <v>0.5</v>
      </c>
      <c r="O214" s="19">
        <f t="shared" si="7"/>
        <v>1</v>
      </c>
    </row>
    <row r="215" spans="1:15" x14ac:dyDescent="0.25">
      <c r="A215" s="39"/>
      <c r="B215" s="41"/>
      <c r="C215" t="s">
        <v>946</v>
      </c>
      <c r="D215" t="s">
        <v>1492</v>
      </c>
      <c r="E215" s="3">
        <f t="shared" si="6"/>
        <v>4</v>
      </c>
      <c r="F215">
        <v>78.66</v>
      </c>
      <c r="G215" s="3">
        <v>4</v>
      </c>
      <c r="H215">
        <v>23.68</v>
      </c>
      <c r="I215">
        <v>15.18</v>
      </c>
      <c r="J215">
        <v>12.18</v>
      </c>
      <c r="K215" s="3">
        <v>4</v>
      </c>
      <c r="L215" s="2">
        <v>12</v>
      </c>
      <c r="M215">
        <v>3.5</v>
      </c>
      <c r="N215">
        <v>0.5</v>
      </c>
      <c r="O215" s="19">
        <f t="shared" si="7"/>
        <v>1</v>
      </c>
    </row>
    <row r="216" spans="1:15" x14ac:dyDescent="0.25">
      <c r="A216" s="39"/>
      <c r="B216" s="41"/>
      <c r="C216" t="s">
        <v>947</v>
      </c>
      <c r="D216" t="s">
        <v>1492</v>
      </c>
      <c r="E216" s="3">
        <f t="shared" si="6"/>
        <v>4</v>
      </c>
      <c r="F216">
        <v>78.66</v>
      </c>
      <c r="G216" s="3">
        <v>4</v>
      </c>
      <c r="H216">
        <v>23.68</v>
      </c>
      <c r="I216">
        <v>15.18</v>
      </c>
      <c r="J216">
        <v>12.18</v>
      </c>
      <c r="K216" s="3">
        <v>4</v>
      </c>
      <c r="L216" s="2">
        <v>12</v>
      </c>
      <c r="M216">
        <v>3.5</v>
      </c>
      <c r="N216">
        <v>0.5</v>
      </c>
      <c r="O216" s="19">
        <f t="shared" si="7"/>
        <v>1</v>
      </c>
    </row>
    <row r="217" spans="1:15" x14ac:dyDescent="0.25">
      <c r="A217" s="39"/>
      <c r="B217" s="41"/>
      <c r="C217" t="s">
        <v>948</v>
      </c>
      <c r="D217" t="s">
        <v>1492</v>
      </c>
      <c r="E217" s="3">
        <f t="shared" si="6"/>
        <v>4</v>
      </c>
      <c r="F217">
        <v>78.66</v>
      </c>
      <c r="G217" s="3">
        <v>4</v>
      </c>
      <c r="H217">
        <v>23.68</v>
      </c>
      <c r="I217">
        <v>15.18</v>
      </c>
      <c r="J217">
        <v>12.18</v>
      </c>
      <c r="K217" s="3">
        <v>4</v>
      </c>
      <c r="L217" s="2">
        <v>12</v>
      </c>
      <c r="M217">
        <v>3.5</v>
      </c>
      <c r="N217">
        <v>0.5</v>
      </c>
      <c r="O217" s="19">
        <f t="shared" si="7"/>
        <v>1</v>
      </c>
    </row>
    <row r="218" spans="1:15" x14ac:dyDescent="0.25">
      <c r="A218" s="39"/>
      <c r="B218" s="41"/>
      <c r="C218" t="s">
        <v>949</v>
      </c>
      <c r="D218" t="s">
        <v>1492</v>
      </c>
      <c r="E218" s="3">
        <f t="shared" si="6"/>
        <v>4</v>
      </c>
      <c r="F218">
        <v>78.66</v>
      </c>
      <c r="G218" s="3">
        <v>4</v>
      </c>
      <c r="H218">
        <v>23.68</v>
      </c>
      <c r="I218">
        <v>15.18</v>
      </c>
      <c r="J218">
        <v>12.18</v>
      </c>
      <c r="K218" s="3">
        <v>4</v>
      </c>
      <c r="L218" s="2">
        <v>12</v>
      </c>
      <c r="M218">
        <v>3.5</v>
      </c>
      <c r="N218">
        <v>0.5</v>
      </c>
      <c r="O218" s="19">
        <f t="shared" si="7"/>
        <v>1</v>
      </c>
    </row>
    <row r="219" spans="1:15" x14ac:dyDescent="0.25">
      <c r="A219" s="39"/>
      <c r="B219" s="41"/>
      <c r="C219" t="s">
        <v>950</v>
      </c>
      <c r="D219" t="s">
        <v>1492</v>
      </c>
      <c r="E219" s="3">
        <f t="shared" si="6"/>
        <v>4</v>
      </c>
      <c r="F219">
        <v>78.66</v>
      </c>
      <c r="G219" s="3">
        <v>4</v>
      </c>
      <c r="H219">
        <v>23.68</v>
      </c>
      <c r="I219">
        <v>15.18</v>
      </c>
      <c r="J219">
        <v>12.18</v>
      </c>
      <c r="K219" s="3">
        <v>4</v>
      </c>
      <c r="L219" s="2">
        <v>12</v>
      </c>
      <c r="M219">
        <v>3.5</v>
      </c>
      <c r="N219">
        <v>0.5</v>
      </c>
      <c r="O219" s="19">
        <f t="shared" si="7"/>
        <v>1</v>
      </c>
    </row>
    <row r="220" spans="1:15" x14ac:dyDescent="0.25">
      <c r="A220" s="39"/>
      <c r="B220" s="41"/>
      <c r="C220" t="s">
        <v>951</v>
      </c>
      <c r="D220" t="s">
        <v>1492</v>
      </c>
      <c r="E220" s="3">
        <f t="shared" si="6"/>
        <v>4</v>
      </c>
      <c r="F220">
        <v>78.66</v>
      </c>
      <c r="G220" s="3">
        <v>4</v>
      </c>
      <c r="H220">
        <v>23.68</v>
      </c>
      <c r="I220">
        <v>15.18</v>
      </c>
      <c r="J220">
        <v>12.18</v>
      </c>
      <c r="K220" s="3">
        <v>4</v>
      </c>
      <c r="L220" s="2">
        <v>11.79</v>
      </c>
      <c r="M220">
        <v>3.29</v>
      </c>
      <c r="N220">
        <v>0.28999999999999998</v>
      </c>
      <c r="O220" s="19">
        <f t="shared" si="7"/>
        <v>1</v>
      </c>
    </row>
    <row r="221" spans="1:15" x14ac:dyDescent="0.25">
      <c r="A221" s="39"/>
      <c r="B221" s="42"/>
      <c r="C221" s="10" t="s">
        <v>952</v>
      </c>
      <c r="D221" s="10" t="s">
        <v>1492</v>
      </c>
      <c r="E221" s="11">
        <f t="shared" si="6"/>
        <v>4</v>
      </c>
      <c r="F221" s="10">
        <v>78.66</v>
      </c>
      <c r="G221" s="11">
        <v>4</v>
      </c>
      <c r="H221" s="10">
        <v>23.68</v>
      </c>
      <c r="I221" s="10">
        <v>15.18</v>
      </c>
      <c r="J221" s="10">
        <v>12.18</v>
      </c>
      <c r="K221" s="11">
        <v>4</v>
      </c>
      <c r="L221" s="12">
        <v>12</v>
      </c>
      <c r="M221" s="10">
        <v>3.5</v>
      </c>
      <c r="N221" s="10">
        <v>0.5</v>
      </c>
      <c r="O221" s="20">
        <f t="shared" si="7"/>
        <v>1</v>
      </c>
    </row>
    <row r="222" spans="1:15" x14ac:dyDescent="0.25">
      <c r="A222" s="39"/>
      <c r="B222" s="40" t="s">
        <v>5</v>
      </c>
      <c r="C222" s="7" t="s">
        <v>953</v>
      </c>
      <c r="D222" s="7" t="s">
        <v>1492</v>
      </c>
      <c r="E222" s="8">
        <f t="shared" si="6"/>
        <v>4</v>
      </c>
      <c r="F222" s="7">
        <v>104.87</v>
      </c>
      <c r="G222" s="8">
        <v>4</v>
      </c>
      <c r="H222" s="7">
        <v>31.57</v>
      </c>
      <c r="I222" s="7">
        <v>23.07</v>
      </c>
      <c r="J222" s="7">
        <v>20.07</v>
      </c>
      <c r="K222" s="8">
        <v>4</v>
      </c>
      <c r="L222" s="9">
        <v>16</v>
      </c>
      <c r="M222" s="7">
        <v>7.5</v>
      </c>
      <c r="N222" s="7">
        <v>4.5</v>
      </c>
      <c r="O222" s="18">
        <f t="shared" si="7"/>
        <v>1</v>
      </c>
    </row>
    <row r="223" spans="1:15" x14ac:dyDescent="0.25">
      <c r="A223" s="39"/>
      <c r="B223" s="41"/>
      <c r="C223" t="s">
        <v>954</v>
      </c>
      <c r="D223" t="s">
        <v>1492</v>
      </c>
      <c r="E223" s="3">
        <f t="shared" si="6"/>
        <v>4</v>
      </c>
      <c r="F223">
        <v>104.87</v>
      </c>
      <c r="G223" s="3">
        <v>4</v>
      </c>
      <c r="H223">
        <v>31.57</v>
      </c>
      <c r="I223">
        <v>23.07</v>
      </c>
      <c r="J223">
        <v>20.07</v>
      </c>
      <c r="K223" s="3">
        <v>4</v>
      </c>
      <c r="L223" s="2">
        <v>16</v>
      </c>
      <c r="M223">
        <v>7.5</v>
      </c>
      <c r="N223">
        <v>4.5</v>
      </c>
      <c r="O223" s="19">
        <f t="shared" si="7"/>
        <v>1</v>
      </c>
    </row>
    <row r="224" spans="1:15" x14ac:dyDescent="0.25">
      <c r="A224" s="39"/>
      <c r="B224" s="41"/>
      <c r="C224" t="s">
        <v>955</v>
      </c>
      <c r="D224" t="s">
        <v>1492</v>
      </c>
      <c r="E224" s="3">
        <f t="shared" si="6"/>
        <v>4</v>
      </c>
      <c r="F224">
        <v>104.87</v>
      </c>
      <c r="G224" s="3">
        <v>4</v>
      </c>
      <c r="H224">
        <v>31.57</v>
      </c>
      <c r="I224">
        <v>23.07</v>
      </c>
      <c r="J224">
        <v>20.07</v>
      </c>
      <c r="K224" s="3">
        <v>4</v>
      </c>
      <c r="L224" s="2">
        <v>16</v>
      </c>
      <c r="M224">
        <v>7.5</v>
      </c>
      <c r="N224">
        <v>4.5</v>
      </c>
      <c r="O224" s="19">
        <f t="shared" si="7"/>
        <v>1</v>
      </c>
    </row>
    <row r="225" spans="1:15" x14ac:dyDescent="0.25">
      <c r="A225" s="39"/>
      <c r="B225" s="41"/>
      <c r="C225" t="s">
        <v>956</v>
      </c>
      <c r="D225" t="s">
        <v>1492</v>
      </c>
      <c r="E225" s="3">
        <f t="shared" si="6"/>
        <v>4</v>
      </c>
      <c r="F225">
        <v>104.87</v>
      </c>
      <c r="G225" s="3">
        <v>4</v>
      </c>
      <c r="H225">
        <v>31.57</v>
      </c>
      <c r="I225">
        <v>23.07</v>
      </c>
      <c r="J225">
        <v>20.07</v>
      </c>
      <c r="K225" s="3">
        <v>4</v>
      </c>
      <c r="L225" s="2">
        <v>16</v>
      </c>
      <c r="M225">
        <v>7.5</v>
      </c>
      <c r="N225">
        <v>4.5</v>
      </c>
      <c r="O225" s="19">
        <f t="shared" si="7"/>
        <v>1</v>
      </c>
    </row>
    <row r="226" spans="1:15" x14ac:dyDescent="0.25">
      <c r="A226" s="39"/>
      <c r="B226" s="41"/>
      <c r="C226" t="s">
        <v>957</v>
      </c>
      <c r="D226" t="s">
        <v>1492</v>
      </c>
      <c r="E226" s="3">
        <f t="shared" si="6"/>
        <v>4</v>
      </c>
      <c r="F226">
        <v>104.87</v>
      </c>
      <c r="G226" s="3">
        <v>4</v>
      </c>
      <c r="H226">
        <v>31.57</v>
      </c>
      <c r="I226">
        <v>23.07</v>
      </c>
      <c r="J226">
        <v>20.07</v>
      </c>
      <c r="K226" s="3">
        <v>4</v>
      </c>
      <c r="L226" s="2">
        <v>16</v>
      </c>
      <c r="M226">
        <v>7.5</v>
      </c>
      <c r="N226">
        <v>4.5</v>
      </c>
      <c r="O226" s="19">
        <f t="shared" si="7"/>
        <v>1</v>
      </c>
    </row>
    <row r="227" spans="1:15" x14ac:dyDescent="0.25">
      <c r="A227" s="39"/>
      <c r="B227" s="41"/>
      <c r="C227" t="s">
        <v>958</v>
      </c>
      <c r="D227" t="s">
        <v>1492</v>
      </c>
      <c r="E227" s="3">
        <f t="shared" si="6"/>
        <v>4</v>
      </c>
      <c r="F227">
        <v>104.87</v>
      </c>
      <c r="G227" s="3">
        <v>4</v>
      </c>
      <c r="H227">
        <v>31.57</v>
      </c>
      <c r="I227">
        <v>23.07</v>
      </c>
      <c r="J227">
        <v>20.07</v>
      </c>
      <c r="K227" s="3">
        <v>4</v>
      </c>
      <c r="L227" s="2">
        <v>16</v>
      </c>
      <c r="M227">
        <v>7.5</v>
      </c>
      <c r="N227">
        <v>4.5</v>
      </c>
      <c r="O227" s="19">
        <f t="shared" si="7"/>
        <v>1</v>
      </c>
    </row>
    <row r="228" spans="1:15" x14ac:dyDescent="0.25">
      <c r="A228" s="39"/>
      <c r="B228" s="41"/>
      <c r="C228" t="s">
        <v>959</v>
      </c>
      <c r="D228" t="s">
        <v>1492</v>
      </c>
      <c r="E228" s="3">
        <f t="shared" si="6"/>
        <v>4</v>
      </c>
      <c r="F228">
        <v>104.87</v>
      </c>
      <c r="G228" s="3">
        <v>4</v>
      </c>
      <c r="H228">
        <v>31.57</v>
      </c>
      <c r="I228">
        <v>23.07</v>
      </c>
      <c r="J228">
        <v>20.07</v>
      </c>
      <c r="K228" s="3">
        <v>4</v>
      </c>
      <c r="L228" s="2">
        <v>16</v>
      </c>
      <c r="M228">
        <v>7.5</v>
      </c>
      <c r="N228">
        <v>4.5</v>
      </c>
      <c r="O228" s="19">
        <f t="shared" si="7"/>
        <v>1</v>
      </c>
    </row>
    <row r="229" spans="1:15" x14ac:dyDescent="0.25">
      <c r="A229" s="39"/>
      <c r="B229" s="41"/>
      <c r="C229" t="s">
        <v>960</v>
      </c>
      <c r="D229" t="s">
        <v>1492</v>
      </c>
      <c r="E229" s="3">
        <f t="shared" si="6"/>
        <v>4</v>
      </c>
      <c r="F229">
        <v>104.87</v>
      </c>
      <c r="G229" s="3">
        <v>4</v>
      </c>
      <c r="H229">
        <v>31.57</v>
      </c>
      <c r="I229">
        <v>23.07</v>
      </c>
      <c r="J229">
        <v>20.07</v>
      </c>
      <c r="K229" s="3">
        <v>4</v>
      </c>
      <c r="L229" s="2">
        <v>16</v>
      </c>
      <c r="M229">
        <v>7.5</v>
      </c>
      <c r="N229">
        <v>4.5</v>
      </c>
      <c r="O229" s="19">
        <f t="shared" si="7"/>
        <v>1</v>
      </c>
    </row>
    <row r="230" spans="1:15" x14ac:dyDescent="0.25">
      <c r="A230" s="39"/>
      <c r="B230" s="41"/>
      <c r="C230" t="s">
        <v>961</v>
      </c>
      <c r="D230" t="s">
        <v>1492</v>
      </c>
      <c r="E230" s="3">
        <f t="shared" si="6"/>
        <v>4</v>
      </c>
      <c r="F230">
        <v>104.87</v>
      </c>
      <c r="G230" s="3">
        <v>4</v>
      </c>
      <c r="H230">
        <v>31.57</v>
      </c>
      <c r="I230">
        <v>23.07</v>
      </c>
      <c r="J230">
        <v>20.07</v>
      </c>
      <c r="K230" s="3">
        <v>4</v>
      </c>
      <c r="L230" s="2">
        <v>16</v>
      </c>
      <c r="M230">
        <v>7.5</v>
      </c>
      <c r="N230">
        <v>4.5</v>
      </c>
      <c r="O230" s="19">
        <f t="shared" si="7"/>
        <v>1</v>
      </c>
    </row>
    <row r="231" spans="1:15" x14ac:dyDescent="0.25">
      <c r="A231" s="39"/>
      <c r="B231" s="41"/>
      <c r="C231" t="s">
        <v>962</v>
      </c>
      <c r="D231" t="s">
        <v>1492</v>
      </c>
      <c r="E231" s="3">
        <f t="shared" si="6"/>
        <v>4</v>
      </c>
      <c r="F231">
        <v>104.87</v>
      </c>
      <c r="G231" s="3">
        <v>4</v>
      </c>
      <c r="H231">
        <v>31.57</v>
      </c>
      <c r="I231">
        <v>23.07</v>
      </c>
      <c r="J231">
        <v>20.07</v>
      </c>
      <c r="K231" s="3">
        <v>4</v>
      </c>
      <c r="L231" s="2">
        <v>16</v>
      </c>
      <c r="M231">
        <v>7.5</v>
      </c>
      <c r="N231">
        <v>4.5</v>
      </c>
      <c r="O231" s="19">
        <f t="shared" si="7"/>
        <v>1</v>
      </c>
    </row>
    <row r="232" spans="1:15" x14ac:dyDescent="0.25">
      <c r="A232" s="39"/>
      <c r="B232" s="41"/>
      <c r="C232" t="s">
        <v>963</v>
      </c>
      <c r="D232" t="s">
        <v>1492</v>
      </c>
      <c r="E232" s="3">
        <f t="shared" si="6"/>
        <v>4</v>
      </c>
      <c r="F232">
        <v>104.87</v>
      </c>
      <c r="G232" s="3">
        <v>4</v>
      </c>
      <c r="H232">
        <v>31.57</v>
      </c>
      <c r="I232">
        <v>23.07</v>
      </c>
      <c r="J232">
        <v>20.07</v>
      </c>
      <c r="K232" s="3">
        <v>4</v>
      </c>
      <c r="L232" s="2">
        <v>16</v>
      </c>
      <c r="M232">
        <v>7.5</v>
      </c>
      <c r="N232">
        <v>4.5</v>
      </c>
      <c r="O232" s="19">
        <f t="shared" si="7"/>
        <v>1</v>
      </c>
    </row>
    <row r="233" spans="1:15" x14ac:dyDescent="0.25">
      <c r="A233" s="39"/>
      <c r="B233" s="41"/>
      <c r="C233" t="s">
        <v>964</v>
      </c>
      <c r="D233" t="s">
        <v>1492</v>
      </c>
      <c r="E233" s="3">
        <f t="shared" si="6"/>
        <v>4</v>
      </c>
      <c r="F233">
        <v>104.87</v>
      </c>
      <c r="G233" s="3">
        <v>4</v>
      </c>
      <c r="H233">
        <v>31.57</v>
      </c>
      <c r="I233">
        <v>23.07</v>
      </c>
      <c r="J233">
        <v>20.07</v>
      </c>
      <c r="K233" s="3">
        <v>4</v>
      </c>
      <c r="L233" s="2">
        <v>16</v>
      </c>
      <c r="M233">
        <v>7.5</v>
      </c>
      <c r="N233">
        <v>4.5</v>
      </c>
      <c r="O233" s="19">
        <f t="shared" si="7"/>
        <v>1</v>
      </c>
    </row>
    <row r="234" spans="1:15" x14ac:dyDescent="0.25">
      <c r="A234" s="39"/>
      <c r="B234" s="41"/>
      <c r="C234" t="s">
        <v>965</v>
      </c>
      <c r="D234" t="s">
        <v>1492</v>
      </c>
      <c r="E234" s="3">
        <f t="shared" si="6"/>
        <v>4</v>
      </c>
      <c r="F234">
        <v>104.87</v>
      </c>
      <c r="G234" s="3">
        <v>4</v>
      </c>
      <c r="H234">
        <v>31.57</v>
      </c>
      <c r="I234">
        <v>23.07</v>
      </c>
      <c r="J234">
        <v>20.07</v>
      </c>
      <c r="K234" s="3">
        <v>4</v>
      </c>
      <c r="L234" s="2">
        <v>16</v>
      </c>
      <c r="M234">
        <v>7.5</v>
      </c>
      <c r="N234">
        <v>4.5</v>
      </c>
      <c r="O234" s="19">
        <f t="shared" si="7"/>
        <v>1</v>
      </c>
    </row>
    <row r="235" spans="1:15" x14ac:dyDescent="0.25">
      <c r="A235" s="39"/>
      <c r="B235" s="41"/>
      <c r="C235" t="s">
        <v>966</v>
      </c>
      <c r="D235" t="s">
        <v>1492</v>
      </c>
      <c r="E235" s="3">
        <f t="shared" si="6"/>
        <v>4</v>
      </c>
      <c r="F235">
        <v>104.87</v>
      </c>
      <c r="G235" s="3">
        <v>4</v>
      </c>
      <c r="H235">
        <v>31.57</v>
      </c>
      <c r="I235">
        <v>23.07</v>
      </c>
      <c r="J235">
        <v>20.07</v>
      </c>
      <c r="K235" s="3">
        <v>4</v>
      </c>
      <c r="L235" s="2">
        <v>16</v>
      </c>
      <c r="M235">
        <v>7.5</v>
      </c>
      <c r="N235">
        <v>4.5</v>
      </c>
      <c r="O235" s="19">
        <f t="shared" si="7"/>
        <v>1</v>
      </c>
    </row>
    <row r="236" spans="1:15" x14ac:dyDescent="0.25">
      <c r="A236" s="39"/>
      <c r="B236" s="41"/>
      <c r="C236" t="s">
        <v>967</v>
      </c>
      <c r="D236" t="s">
        <v>1492</v>
      </c>
      <c r="E236" s="3">
        <f t="shared" si="6"/>
        <v>4</v>
      </c>
      <c r="F236">
        <v>104.87</v>
      </c>
      <c r="G236" s="3">
        <v>4</v>
      </c>
      <c r="H236">
        <v>31.57</v>
      </c>
      <c r="I236">
        <v>23.07</v>
      </c>
      <c r="J236">
        <v>20.07</v>
      </c>
      <c r="K236" s="3">
        <v>4</v>
      </c>
      <c r="L236" s="2">
        <v>16</v>
      </c>
      <c r="M236">
        <v>7.5</v>
      </c>
      <c r="N236">
        <v>4.5</v>
      </c>
      <c r="O236" s="19">
        <f t="shared" si="7"/>
        <v>1</v>
      </c>
    </row>
    <row r="237" spans="1:15" x14ac:dyDescent="0.25">
      <c r="A237" s="39"/>
      <c r="B237" s="41"/>
      <c r="C237" t="s">
        <v>968</v>
      </c>
      <c r="D237" t="s">
        <v>1492</v>
      </c>
      <c r="E237" s="3">
        <f t="shared" si="6"/>
        <v>4</v>
      </c>
      <c r="F237">
        <v>104.87</v>
      </c>
      <c r="G237" s="3">
        <v>4</v>
      </c>
      <c r="H237">
        <v>31.57</v>
      </c>
      <c r="I237">
        <v>23.07</v>
      </c>
      <c r="J237">
        <v>20.07</v>
      </c>
      <c r="K237" s="3">
        <v>4</v>
      </c>
      <c r="L237" s="2">
        <v>16</v>
      </c>
      <c r="M237">
        <v>7.5</v>
      </c>
      <c r="N237">
        <v>4.5</v>
      </c>
      <c r="O237" s="19">
        <f t="shared" si="7"/>
        <v>1</v>
      </c>
    </row>
    <row r="238" spans="1:15" x14ac:dyDescent="0.25">
      <c r="A238" s="39"/>
      <c r="B238" s="41"/>
      <c r="C238" t="s">
        <v>969</v>
      </c>
      <c r="D238" t="s">
        <v>1492</v>
      </c>
      <c r="E238" s="3">
        <f t="shared" si="6"/>
        <v>4</v>
      </c>
      <c r="F238">
        <v>104.87</v>
      </c>
      <c r="G238" s="3">
        <v>4</v>
      </c>
      <c r="H238">
        <v>31.57</v>
      </c>
      <c r="I238">
        <v>23.07</v>
      </c>
      <c r="J238">
        <v>20.07</v>
      </c>
      <c r="K238" s="3">
        <v>4</v>
      </c>
      <c r="L238" s="2">
        <v>16</v>
      </c>
      <c r="M238">
        <v>7.5</v>
      </c>
      <c r="N238">
        <v>4.5</v>
      </c>
      <c r="O238" s="19">
        <f t="shared" si="7"/>
        <v>1</v>
      </c>
    </row>
    <row r="239" spans="1:15" x14ac:dyDescent="0.25">
      <c r="A239" s="39"/>
      <c r="B239" s="41"/>
      <c r="C239" t="s">
        <v>970</v>
      </c>
      <c r="D239" t="s">
        <v>1492</v>
      </c>
      <c r="E239" s="3">
        <f t="shared" si="6"/>
        <v>4</v>
      </c>
      <c r="F239">
        <v>104.87</v>
      </c>
      <c r="G239" s="3">
        <v>4</v>
      </c>
      <c r="H239">
        <v>31.57</v>
      </c>
      <c r="I239">
        <v>23.07</v>
      </c>
      <c r="J239">
        <v>20.07</v>
      </c>
      <c r="K239" s="3">
        <v>4</v>
      </c>
      <c r="L239" s="2">
        <v>16</v>
      </c>
      <c r="M239">
        <v>7.5</v>
      </c>
      <c r="N239">
        <v>4.5</v>
      </c>
      <c r="O239" s="19">
        <f t="shared" si="7"/>
        <v>1</v>
      </c>
    </row>
    <row r="240" spans="1:15" x14ac:dyDescent="0.25">
      <c r="A240" s="39"/>
      <c r="B240" s="41"/>
      <c r="C240" t="s">
        <v>971</v>
      </c>
      <c r="D240" t="s">
        <v>1492</v>
      </c>
      <c r="E240" s="3">
        <f t="shared" si="6"/>
        <v>4</v>
      </c>
      <c r="F240">
        <v>104.87</v>
      </c>
      <c r="G240" s="3">
        <v>4</v>
      </c>
      <c r="H240">
        <v>31.57</v>
      </c>
      <c r="I240">
        <v>23.07</v>
      </c>
      <c r="J240">
        <v>20.07</v>
      </c>
      <c r="K240" s="3">
        <v>4</v>
      </c>
      <c r="L240" s="2">
        <v>16</v>
      </c>
      <c r="M240">
        <v>7.5</v>
      </c>
      <c r="N240">
        <v>4.5</v>
      </c>
      <c r="O240" s="19">
        <f t="shared" si="7"/>
        <v>1</v>
      </c>
    </row>
    <row r="241" spans="1:15" x14ac:dyDescent="0.25">
      <c r="A241" s="39"/>
      <c r="B241" s="42"/>
      <c r="C241" s="10" t="s">
        <v>972</v>
      </c>
      <c r="D241" s="10" t="s">
        <v>1492</v>
      </c>
      <c r="E241" s="11">
        <f t="shared" si="6"/>
        <v>4</v>
      </c>
      <c r="F241" s="10">
        <v>104.87</v>
      </c>
      <c r="G241" s="11">
        <v>4</v>
      </c>
      <c r="H241" s="10">
        <v>31.57</v>
      </c>
      <c r="I241" s="10">
        <v>23.07</v>
      </c>
      <c r="J241" s="10">
        <v>20.07</v>
      </c>
      <c r="K241" s="11">
        <v>4</v>
      </c>
      <c r="L241" s="12">
        <v>16</v>
      </c>
      <c r="M241" s="10">
        <v>7.5</v>
      </c>
      <c r="N241" s="10">
        <v>4.5</v>
      </c>
      <c r="O241" s="20">
        <f t="shared" si="7"/>
        <v>1</v>
      </c>
    </row>
  </sheetData>
  <autoFilter ref="A1:N241" xr:uid="{0FF29ABF-E0DC-4F44-A513-0081296CEC7E}"/>
  <mergeCells count="278">
    <mergeCell ref="S98:T98"/>
    <mergeCell ref="U98:V98"/>
    <mergeCell ref="W98:X98"/>
    <mergeCell ref="S99:T99"/>
    <mergeCell ref="U99:V99"/>
    <mergeCell ref="W99:X99"/>
    <mergeCell ref="S95:T95"/>
    <mergeCell ref="U95:V95"/>
    <mergeCell ref="W95:X95"/>
    <mergeCell ref="S96:T96"/>
    <mergeCell ref="U96:V96"/>
    <mergeCell ref="W96:X96"/>
    <mergeCell ref="S97:T97"/>
    <mergeCell ref="U97:V97"/>
    <mergeCell ref="W97:X97"/>
    <mergeCell ref="A122:A181"/>
    <mergeCell ref="B122:B141"/>
    <mergeCell ref="B142:B161"/>
    <mergeCell ref="B162:B181"/>
    <mergeCell ref="A182:A241"/>
    <mergeCell ref="B182:B201"/>
    <mergeCell ref="B202:B221"/>
    <mergeCell ref="B222:B241"/>
    <mergeCell ref="A2:A61"/>
    <mergeCell ref="B2:B21"/>
    <mergeCell ref="B22:B41"/>
    <mergeCell ref="B42:B61"/>
    <mergeCell ref="A62:A121"/>
    <mergeCell ref="B62:B81"/>
    <mergeCell ref="B82:B101"/>
    <mergeCell ref="B102:B121"/>
    <mergeCell ref="S9:T9"/>
    <mergeCell ref="U9:V9"/>
    <mergeCell ref="W9:X9"/>
    <mergeCell ref="S10:T10"/>
    <mergeCell ref="U10:V10"/>
    <mergeCell ref="W10:X10"/>
    <mergeCell ref="R6:X6"/>
    <mergeCell ref="S7:T7"/>
    <mergeCell ref="U7:V7"/>
    <mergeCell ref="W7:X7"/>
    <mergeCell ref="S8:T8"/>
    <mergeCell ref="U8:V8"/>
    <mergeCell ref="W8:X8"/>
    <mergeCell ref="S13:T13"/>
    <mergeCell ref="U13:V13"/>
    <mergeCell ref="W13:X13"/>
    <mergeCell ref="S14:T14"/>
    <mergeCell ref="U14:V14"/>
    <mergeCell ref="W14:X14"/>
    <mergeCell ref="S11:T11"/>
    <mergeCell ref="U11:V11"/>
    <mergeCell ref="W11:X11"/>
    <mergeCell ref="S12:T12"/>
    <mergeCell ref="U12:V12"/>
    <mergeCell ref="W12:X12"/>
    <mergeCell ref="R18:X18"/>
    <mergeCell ref="S19:T19"/>
    <mergeCell ref="U19:V19"/>
    <mergeCell ref="W19:X19"/>
    <mergeCell ref="S20:T20"/>
    <mergeCell ref="U20:V20"/>
    <mergeCell ref="W20:X20"/>
    <mergeCell ref="S15:T15"/>
    <mergeCell ref="U15:V15"/>
    <mergeCell ref="W15:X15"/>
    <mergeCell ref="S16:T16"/>
    <mergeCell ref="U16:V16"/>
    <mergeCell ref="W16:X16"/>
    <mergeCell ref="S23:T23"/>
    <mergeCell ref="U23:V23"/>
    <mergeCell ref="W23:X23"/>
    <mergeCell ref="S24:T24"/>
    <mergeCell ref="U24:V24"/>
    <mergeCell ref="W24:X24"/>
    <mergeCell ref="S21:T21"/>
    <mergeCell ref="U21:V21"/>
    <mergeCell ref="W21:X21"/>
    <mergeCell ref="S22:T22"/>
    <mergeCell ref="U22:V22"/>
    <mergeCell ref="W22:X22"/>
    <mergeCell ref="S27:T27"/>
    <mergeCell ref="U27:V27"/>
    <mergeCell ref="W27:X27"/>
    <mergeCell ref="S28:T28"/>
    <mergeCell ref="U28:V28"/>
    <mergeCell ref="W28:X28"/>
    <mergeCell ref="S25:T25"/>
    <mergeCell ref="U25:V25"/>
    <mergeCell ref="W25:X25"/>
    <mergeCell ref="S26:T26"/>
    <mergeCell ref="U26:V26"/>
    <mergeCell ref="W26:X26"/>
    <mergeCell ref="S33:T33"/>
    <mergeCell ref="U33:V33"/>
    <mergeCell ref="W33:X33"/>
    <mergeCell ref="S34:T34"/>
    <mergeCell ref="U34:V34"/>
    <mergeCell ref="W34:X34"/>
    <mergeCell ref="R30:X30"/>
    <mergeCell ref="S31:T31"/>
    <mergeCell ref="U31:V31"/>
    <mergeCell ref="W31:X31"/>
    <mergeCell ref="S32:T32"/>
    <mergeCell ref="U32:V32"/>
    <mergeCell ref="W32:X32"/>
    <mergeCell ref="S37:T37"/>
    <mergeCell ref="U37:V37"/>
    <mergeCell ref="W37:X37"/>
    <mergeCell ref="S38:T38"/>
    <mergeCell ref="U38:V38"/>
    <mergeCell ref="W38:X38"/>
    <mergeCell ref="S35:T35"/>
    <mergeCell ref="U35:V35"/>
    <mergeCell ref="W35:X35"/>
    <mergeCell ref="S36:T36"/>
    <mergeCell ref="U36:V36"/>
    <mergeCell ref="W36:X36"/>
    <mergeCell ref="R42:X42"/>
    <mergeCell ref="S43:T43"/>
    <mergeCell ref="U43:V43"/>
    <mergeCell ref="W43:X43"/>
    <mergeCell ref="S44:T44"/>
    <mergeCell ref="U44:V44"/>
    <mergeCell ref="W44:X44"/>
    <mergeCell ref="S39:T39"/>
    <mergeCell ref="U39:V39"/>
    <mergeCell ref="W39:X39"/>
    <mergeCell ref="S40:T40"/>
    <mergeCell ref="U40:V40"/>
    <mergeCell ref="W40:X40"/>
    <mergeCell ref="S47:T47"/>
    <mergeCell ref="U47:V47"/>
    <mergeCell ref="W47:X47"/>
    <mergeCell ref="S48:T48"/>
    <mergeCell ref="U48:V48"/>
    <mergeCell ref="W48:X48"/>
    <mergeCell ref="S45:T45"/>
    <mergeCell ref="U45:V45"/>
    <mergeCell ref="W45:X45"/>
    <mergeCell ref="S46:T46"/>
    <mergeCell ref="U46:V46"/>
    <mergeCell ref="W46:X46"/>
    <mergeCell ref="S51:T51"/>
    <mergeCell ref="U51:V51"/>
    <mergeCell ref="W51:X51"/>
    <mergeCell ref="S52:T52"/>
    <mergeCell ref="U52:V52"/>
    <mergeCell ref="W52:X52"/>
    <mergeCell ref="S49:T49"/>
    <mergeCell ref="U49:V49"/>
    <mergeCell ref="W49:X49"/>
    <mergeCell ref="S50:T50"/>
    <mergeCell ref="U50:V50"/>
    <mergeCell ref="W50:X50"/>
    <mergeCell ref="R54:X54"/>
    <mergeCell ref="S55:T55"/>
    <mergeCell ref="U55:V55"/>
    <mergeCell ref="W55:X55"/>
    <mergeCell ref="Q56:Q58"/>
    <mergeCell ref="S56:T56"/>
    <mergeCell ref="U56:V56"/>
    <mergeCell ref="W56:X56"/>
    <mergeCell ref="S57:T57"/>
    <mergeCell ref="U57:V57"/>
    <mergeCell ref="W57:X57"/>
    <mergeCell ref="S58:T58"/>
    <mergeCell ref="U58:V58"/>
    <mergeCell ref="W58:X58"/>
    <mergeCell ref="Q59:Q61"/>
    <mergeCell ref="S59:T59"/>
    <mergeCell ref="U59:V59"/>
    <mergeCell ref="W59:X59"/>
    <mergeCell ref="S60:T60"/>
    <mergeCell ref="U60:V60"/>
    <mergeCell ref="W60:X60"/>
    <mergeCell ref="S61:T61"/>
    <mergeCell ref="U61:V61"/>
    <mergeCell ref="W61:X61"/>
    <mergeCell ref="Q62:Q64"/>
    <mergeCell ref="S62:T62"/>
    <mergeCell ref="U62:V62"/>
    <mergeCell ref="W62:X62"/>
    <mergeCell ref="S63:T63"/>
    <mergeCell ref="U63:V63"/>
    <mergeCell ref="W63:X63"/>
    <mergeCell ref="S64:T64"/>
    <mergeCell ref="U64:V64"/>
    <mergeCell ref="W64:X64"/>
    <mergeCell ref="Q65:Q67"/>
    <mergeCell ref="S65:T65"/>
    <mergeCell ref="U65:V65"/>
    <mergeCell ref="W65:X65"/>
    <mergeCell ref="S66:T66"/>
    <mergeCell ref="U66:V66"/>
    <mergeCell ref="W66:X66"/>
    <mergeCell ref="S67:T67"/>
    <mergeCell ref="U67:V67"/>
    <mergeCell ref="W67:X67"/>
    <mergeCell ref="Q76:Q81"/>
    <mergeCell ref="S69:T69"/>
    <mergeCell ref="U69:V69"/>
    <mergeCell ref="W69:X69"/>
    <mergeCell ref="S70:T70"/>
    <mergeCell ref="U70:V70"/>
    <mergeCell ref="W70:X70"/>
    <mergeCell ref="S71:T71"/>
    <mergeCell ref="U71:V71"/>
    <mergeCell ref="W71:X71"/>
    <mergeCell ref="S72:T72"/>
    <mergeCell ref="U72:V72"/>
    <mergeCell ref="W72:X72"/>
    <mergeCell ref="Q70:Q75"/>
    <mergeCell ref="S75:T75"/>
    <mergeCell ref="U75:V75"/>
    <mergeCell ref="W75:X75"/>
    <mergeCell ref="S79:T79"/>
    <mergeCell ref="U79:V79"/>
    <mergeCell ref="W79:X79"/>
    <mergeCell ref="S73:T73"/>
    <mergeCell ref="U73:V73"/>
    <mergeCell ref="W73:X73"/>
    <mergeCell ref="S74:T74"/>
    <mergeCell ref="Q88:Q93"/>
    <mergeCell ref="S82:T82"/>
    <mergeCell ref="U82:V82"/>
    <mergeCell ref="W82:X82"/>
    <mergeCell ref="S83:T83"/>
    <mergeCell ref="U83:V83"/>
    <mergeCell ref="W83:X83"/>
    <mergeCell ref="S84:T84"/>
    <mergeCell ref="U84:V84"/>
    <mergeCell ref="W84:X84"/>
    <mergeCell ref="Q82:Q87"/>
    <mergeCell ref="S85:T85"/>
    <mergeCell ref="U85:V85"/>
    <mergeCell ref="W85:X85"/>
    <mergeCell ref="S86:T86"/>
    <mergeCell ref="U86:V86"/>
    <mergeCell ref="W86:X86"/>
    <mergeCell ref="S93:T93"/>
    <mergeCell ref="U93:V93"/>
    <mergeCell ref="W93:X93"/>
    <mergeCell ref="U74:V74"/>
    <mergeCell ref="W74:X74"/>
    <mergeCell ref="S76:T76"/>
    <mergeCell ref="U76:V76"/>
    <mergeCell ref="W76:X76"/>
    <mergeCell ref="S77:T77"/>
    <mergeCell ref="U77:V77"/>
    <mergeCell ref="W77:X77"/>
    <mergeCell ref="S78:T78"/>
    <mergeCell ref="U78:V78"/>
    <mergeCell ref="W78:X78"/>
    <mergeCell ref="S80:T80"/>
    <mergeCell ref="U80:V80"/>
    <mergeCell ref="W80:X80"/>
    <mergeCell ref="S81:T81"/>
    <mergeCell ref="U81:V81"/>
    <mergeCell ref="W81:X81"/>
    <mergeCell ref="S92:T92"/>
    <mergeCell ref="U92:V92"/>
    <mergeCell ref="W92:X92"/>
    <mergeCell ref="S87:T87"/>
    <mergeCell ref="U87:V87"/>
    <mergeCell ref="W87:X87"/>
    <mergeCell ref="S91:T91"/>
    <mergeCell ref="U91:V91"/>
    <mergeCell ref="W91:X91"/>
    <mergeCell ref="S88:T88"/>
    <mergeCell ref="U88:V88"/>
    <mergeCell ref="W88:X88"/>
    <mergeCell ref="S89:T89"/>
    <mergeCell ref="U89:V89"/>
    <mergeCell ref="W89:X89"/>
    <mergeCell ref="S90:T90"/>
    <mergeCell ref="U90:V90"/>
    <mergeCell ref="W90:X9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9A84-4B39-4872-8C1E-2AA6813F490F}">
  <dimension ref="A1:AC241"/>
  <sheetViews>
    <sheetView showGridLines="0" zoomScale="95" zoomScaleNormal="95" workbookViewId="0">
      <pane ySplit="1" topLeftCell="A2" activePane="bottomLeft" state="frozen"/>
      <selection pane="bottomLeft" activeCell="A2" sqref="A2:A61"/>
    </sheetView>
  </sheetViews>
  <sheetFormatPr defaultRowHeight="15" x14ac:dyDescent="0.25"/>
  <cols>
    <col min="2" max="2" width="4.140625" bestFit="1" customWidth="1"/>
    <col min="3" max="3" width="20.7109375" customWidth="1"/>
    <col min="5" max="5" width="13.28515625" style="2" customWidth="1"/>
    <col min="6" max="6" width="12.42578125" customWidth="1"/>
    <col min="7" max="7" width="11.7109375" customWidth="1"/>
    <col min="8" max="8" width="16.7109375" bestFit="1" customWidth="1"/>
    <col min="9" max="9" width="14.7109375" bestFit="1" customWidth="1"/>
    <col min="10" max="10" width="15.7109375" bestFit="1" customWidth="1"/>
    <col min="11" max="11" width="12.7109375" bestFit="1" customWidth="1"/>
    <col min="12" max="12" width="15.140625" bestFit="1" customWidth="1"/>
    <col min="13" max="13" width="17.28515625" customWidth="1"/>
    <col min="14" max="14" width="12.5703125" customWidth="1"/>
    <col min="15" max="15" width="14.140625" customWidth="1"/>
    <col min="16" max="16" width="7.7109375" customWidth="1"/>
    <col min="18" max="18" width="25.140625" customWidth="1"/>
    <col min="28" max="28" width="16.7109375" bestFit="1" customWidth="1"/>
    <col min="29" max="29" width="21.42578125" bestFit="1" customWidth="1"/>
  </cols>
  <sheetData>
    <row r="1" spans="1:29" x14ac:dyDescent="0.25">
      <c r="C1" s="13" t="s">
        <v>8</v>
      </c>
      <c r="D1" s="14" t="s">
        <v>9</v>
      </c>
      <c r="E1" s="15" t="s">
        <v>1487</v>
      </c>
      <c r="F1" s="14" t="s">
        <v>1453</v>
      </c>
      <c r="G1" s="14" t="s">
        <v>1452</v>
      </c>
      <c r="H1" s="14" t="s">
        <v>1454</v>
      </c>
      <c r="I1" s="14" t="s">
        <v>1456</v>
      </c>
      <c r="J1" s="14" t="s">
        <v>1457</v>
      </c>
      <c r="K1" s="14" t="s">
        <v>1512</v>
      </c>
      <c r="L1" s="14" t="s">
        <v>1455</v>
      </c>
      <c r="M1" s="14" t="s">
        <v>1458</v>
      </c>
      <c r="N1" s="18" t="s">
        <v>1459</v>
      </c>
      <c r="O1" t="s">
        <v>1510</v>
      </c>
    </row>
    <row r="2" spans="1:29" x14ac:dyDescent="0.25">
      <c r="A2" s="50" t="s">
        <v>0</v>
      </c>
      <c r="B2" s="40" t="s">
        <v>4</v>
      </c>
      <c r="C2" s="7" t="s">
        <v>251</v>
      </c>
      <c r="D2" s="7" t="s">
        <v>271</v>
      </c>
      <c r="E2" s="8">
        <f t="shared" ref="E2:E65" si="0">IF(D2="Muito Fraca", 1, IF(D2="Fraca", 2, IF(D2="Boa", 3, 4)))</f>
        <v>2</v>
      </c>
      <c r="F2" s="9" t="s">
        <v>1494</v>
      </c>
      <c r="G2" s="8">
        <v>4</v>
      </c>
      <c r="H2" s="9">
        <v>11.32</v>
      </c>
      <c r="I2" s="9">
        <v>2.82</v>
      </c>
      <c r="J2" s="9">
        <v>-0.18</v>
      </c>
      <c r="K2" s="8">
        <v>2</v>
      </c>
      <c r="L2" s="9">
        <v>8</v>
      </c>
      <c r="M2" s="9">
        <v>-0.5</v>
      </c>
      <c r="N2" s="53">
        <v>-3.5</v>
      </c>
      <c r="O2" s="19">
        <f>E2/K2</f>
        <v>1</v>
      </c>
    </row>
    <row r="3" spans="1:29" x14ac:dyDescent="0.25">
      <c r="A3" s="51"/>
      <c r="B3" s="41"/>
      <c r="C3" t="s">
        <v>252</v>
      </c>
      <c r="D3" t="s">
        <v>271</v>
      </c>
      <c r="E3" s="3">
        <f t="shared" si="0"/>
        <v>2</v>
      </c>
      <c r="F3" s="2" t="s">
        <v>1494</v>
      </c>
      <c r="G3" s="3">
        <v>4</v>
      </c>
      <c r="H3" s="2">
        <v>11.32</v>
      </c>
      <c r="I3" s="2">
        <v>2.82</v>
      </c>
      <c r="J3" s="2">
        <v>-0.18</v>
      </c>
      <c r="K3" s="3">
        <v>2</v>
      </c>
      <c r="L3" s="2">
        <v>8</v>
      </c>
      <c r="M3" s="2">
        <v>-0.5</v>
      </c>
      <c r="N3" s="53">
        <v>-3.5</v>
      </c>
      <c r="O3" s="19">
        <f t="shared" ref="O3:O66" si="1">E3/K3</f>
        <v>1</v>
      </c>
    </row>
    <row r="4" spans="1:29" x14ac:dyDescent="0.25">
      <c r="A4" s="51"/>
      <c r="B4" s="41"/>
      <c r="C4" t="s">
        <v>253</v>
      </c>
      <c r="D4" t="s">
        <v>271</v>
      </c>
      <c r="E4" s="3">
        <f t="shared" si="0"/>
        <v>2</v>
      </c>
      <c r="F4" s="2" t="s">
        <v>1494</v>
      </c>
      <c r="G4" s="3">
        <v>4</v>
      </c>
      <c r="H4" s="2">
        <v>11.32</v>
      </c>
      <c r="I4" s="2">
        <v>2.82</v>
      </c>
      <c r="J4" s="2">
        <v>-0.18</v>
      </c>
      <c r="K4" s="3">
        <v>2</v>
      </c>
      <c r="L4" s="2">
        <v>8</v>
      </c>
      <c r="M4" s="2">
        <v>-0.5</v>
      </c>
      <c r="N4" s="53">
        <v>-3.5</v>
      </c>
      <c r="O4" s="19">
        <f t="shared" si="1"/>
        <v>1</v>
      </c>
    </row>
    <row r="5" spans="1:29" x14ac:dyDescent="0.25">
      <c r="A5" s="51"/>
      <c r="B5" s="41"/>
      <c r="C5" t="s">
        <v>254</v>
      </c>
      <c r="D5" t="s">
        <v>271</v>
      </c>
      <c r="E5" s="3">
        <f t="shared" si="0"/>
        <v>2</v>
      </c>
      <c r="F5" s="2" t="s">
        <v>1494</v>
      </c>
      <c r="G5" s="3">
        <v>4</v>
      </c>
      <c r="H5" s="2">
        <v>11.32</v>
      </c>
      <c r="I5" s="2">
        <v>2.82</v>
      </c>
      <c r="J5" s="2">
        <v>-0.18</v>
      </c>
      <c r="K5" s="3">
        <v>2</v>
      </c>
      <c r="L5" s="2">
        <v>8</v>
      </c>
      <c r="M5" s="2">
        <v>-0.5</v>
      </c>
      <c r="N5" s="53">
        <v>-3.5</v>
      </c>
      <c r="O5" s="19">
        <f t="shared" si="1"/>
        <v>1</v>
      </c>
    </row>
    <row r="6" spans="1:29" x14ac:dyDescent="0.25">
      <c r="A6" s="51"/>
      <c r="B6" s="41"/>
      <c r="C6" t="s">
        <v>255</v>
      </c>
      <c r="D6" t="s">
        <v>271</v>
      </c>
      <c r="E6" s="3">
        <f t="shared" si="0"/>
        <v>2</v>
      </c>
      <c r="F6" s="2" t="s">
        <v>1494</v>
      </c>
      <c r="G6" s="3">
        <v>4</v>
      </c>
      <c r="H6" s="2">
        <v>11.32</v>
      </c>
      <c r="I6" s="2">
        <v>2.82</v>
      </c>
      <c r="J6" s="2">
        <v>-0.18</v>
      </c>
      <c r="K6" s="3">
        <v>2</v>
      </c>
      <c r="L6" s="2">
        <v>8</v>
      </c>
      <c r="M6" s="2">
        <v>-0.5</v>
      </c>
      <c r="N6" s="53">
        <v>-3.5</v>
      </c>
      <c r="O6" s="19">
        <f t="shared" si="1"/>
        <v>1</v>
      </c>
    </row>
    <row r="7" spans="1:29" x14ac:dyDescent="0.25">
      <c r="A7" s="51"/>
      <c r="B7" s="41"/>
      <c r="C7" t="s">
        <v>256</v>
      </c>
      <c r="D7" t="s">
        <v>271</v>
      </c>
      <c r="E7" s="3">
        <f t="shared" si="0"/>
        <v>2</v>
      </c>
      <c r="F7" s="2" t="s">
        <v>1494</v>
      </c>
      <c r="G7" s="3">
        <v>4</v>
      </c>
      <c r="H7" s="2">
        <v>11.32</v>
      </c>
      <c r="I7" s="2">
        <v>2.82</v>
      </c>
      <c r="J7" s="2">
        <v>-0.18</v>
      </c>
      <c r="K7" s="3">
        <v>2</v>
      </c>
      <c r="L7" s="2">
        <v>8</v>
      </c>
      <c r="M7" s="2">
        <v>-0.5</v>
      </c>
      <c r="N7" s="53">
        <v>-3.5</v>
      </c>
      <c r="O7" s="19">
        <f t="shared" si="1"/>
        <v>1</v>
      </c>
    </row>
    <row r="8" spans="1:29" x14ac:dyDescent="0.25">
      <c r="A8" s="51"/>
      <c r="B8" s="41"/>
      <c r="C8" t="s">
        <v>257</v>
      </c>
      <c r="D8" t="s">
        <v>271</v>
      </c>
      <c r="E8" s="3">
        <f t="shared" si="0"/>
        <v>2</v>
      </c>
      <c r="F8" s="2" t="s">
        <v>1494</v>
      </c>
      <c r="G8" s="3">
        <v>4</v>
      </c>
      <c r="H8" s="2">
        <v>11.32</v>
      </c>
      <c r="I8" s="2">
        <v>2.82</v>
      </c>
      <c r="J8" s="2">
        <v>-0.18</v>
      </c>
      <c r="K8" s="3">
        <v>2</v>
      </c>
      <c r="L8" s="2">
        <v>8</v>
      </c>
      <c r="M8" s="2">
        <v>-0.5</v>
      </c>
      <c r="N8" s="53">
        <v>-3.5</v>
      </c>
      <c r="O8" s="19">
        <f t="shared" si="1"/>
        <v>1</v>
      </c>
    </row>
    <row r="9" spans="1:29" x14ac:dyDescent="0.25">
      <c r="A9" s="51"/>
      <c r="B9" s="41"/>
      <c r="C9" t="s">
        <v>258</v>
      </c>
      <c r="D9" t="s">
        <v>271</v>
      </c>
      <c r="E9" s="3">
        <f t="shared" si="0"/>
        <v>2</v>
      </c>
      <c r="F9" s="2" t="s">
        <v>1494</v>
      </c>
      <c r="G9" s="3">
        <v>4</v>
      </c>
      <c r="H9" s="2">
        <v>11.32</v>
      </c>
      <c r="I9" s="2">
        <v>2.82</v>
      </c>
      <c r="J9" s="2">
        <v>-0.18</v>
      </c>
      <c r="K9" s="3">
        <v>2</v>
      </c>
      <c r="L9" s="2">
        <v>8</v>
      </c>
      <c r="M9" s="2">
        <v>-0.5</v>
      </c>
      <c r="N9" s="53">
        <v>-3.5</v>
      </c>
      <c r="O9" s="19">
        <f t="shared" si="1"/>
        <v>1</v>
      </c>
    </row>
    <row r="10" spans="1:29" x14ac:dyDescent="0.25">
      <c r="A10" s="51"/>
      <c r="B10" s="41"/>
      <c r="C10" t="s">
        <v>259</v>
      </c>
      <c r="D10" t="s">
        <v>271</v>
      </c>
      <c r="E10" s="3">
        <f t="shared" si="0"/>
        <v>2</v>
      </c>
      <c r="F10" s="2" t="s">
        <v>1494</v>
      </c>
      <c r="G10" s="3">
        <v>4</v>
      </c>
      <c r="H10" s="2">
        <v>11.32</v>
      </c>
      <c r="I10" s="2">
        <v>2.82</v>
      </c>
      <c r="J10" s="2">
        <v>-0.18</v>
      </c>
      <c r="K10" s="3">
        <v>2</v>
      </c>
      <c r="L10" s="2">
        <v>8</v>
      </c>
      <c r="M10" s="2">
        <v>-0.5</v>
      </c>
      <c r="N10" s="53">
        <v>-3.5</v>
      </c>
      <c r="O10" s="19">
        <f t="shared" si="1"/>
        <v>1</v>
      </c>
    </row>
    <row r="11" spans="1:29" x14ac:dyDescent="0.25">
      <c r="A11" s="51"/>
      <c r="B11" s="41"/>
      <c r="C11" t="s">
        <v>260</v>
      </c>
      <c r="D11" t="s">
        <v>271</v>
      </c>
      <c r="E11" s="3">
        <f t="shared" si="0"/>
        <v>2</v>
      </c>
      <c r="F11" s="2" t="s">
        <v>1494</v>
      </c>
      <c r="G11" s="3">
        <v>4</v>
      </c>
      <c r="H11" s="2">
        <v>11.32</v>
      </c>
      <c r="I11" s="2">
        <v>2.82</v>
      </c>
      <c r="J11" s="2">
        <v>-0.18</v>
      </c>
      <c r="K11" s="3">
        <v>2</v>
      </c>
      <c r="L11" s="2">
        <v>8</v>
      </c>
      <c r="M11" s="2">
        <v>-0.5</v>
      </c>
      <c r="N11" s="53">
        <v>-3.5</v>
      </c>
      <c r="O11" s="19">
        <f t="shared" si="1"/>
        <v>1</v>
      </c>
      <c r="R11" s="37" t="s">
        <v>0</v>
      </c>
      <c r="S11" s="38"/>
      <c r="T11" s="38"/>
      <c r="U11" s="38"/>
      <c r="V11" s="38"/>
      <c r="W11" s="38"/>
      <c r="X11" s="26"/>
      <c r="AA11" t="s">
        <v>1469</v>
      </c>
    </row>
    <row r="12" spans="1:29" x14ac:dyDescent="0.25">
      <c r="A12" s="51"/>
      <c r="B12" s="41"/>
      <c r="C12" t="s">
        <v>261</v>
      </c>
      <c r="D12" t="s">
        <v>271</v>
      </c>
      <c r="E12" s="3">
        <f t="shared" si="0"/>
        <v>2</v>
      </c>
      <c r="F12" s="2" t="s">
        <v>1494</v>
      </c>
      <c r="G12" s="3">
        <v>4</v>
      </c>
      <c r="H12" s="2">
        <v>11.32</v>
      </c>
      <c r="I12" s="2">
        <v>2.82</v>
      </c>
      <c r="J12" s="2">
        <v>-0.18</v>
      </c>
      <c r="K12" s="3">
        <v>2</v>
      </c>
      <c r="L12" s="2">
        <v>8</v>
      </c>
      <c r="M12" s="2">
        <v>-0.5</v>
      </c>
      <c r="N12" s="53">
        <v>-3.5</v>
      </c>
      <c r="O12" s="19">
        <f t="shared" si="1"/>
        <v>1</v>
      </c>
      <c r="R12" s="1"/>
      <c r="S12" s="30" t="s">
        <v>1460</v>
      </c>
      <c r="T12" s="30"/>
      <c r="U12" s="30" t="s">
        <v>1461</v>
      </c>
      <c r="V12" s="30"/>
      <c r="W12" s="30" t="s">
        <v>1462</v>
      </c>
      <c r="X12" s="30"/>
      <c r="AB12" t="s">
        <v>1480</v>
      </c>
    </row>
    <row r="13" spans="1:29" x14ac:dyDescent="0.25">
      <c r="A13" s="51"/>
      <c r="B13" s="41"/>
      <c r="C13" t="s">
        <v>262</v>
      </c>
      <c r="D13" t="s">
        <v>271</v>
      </c>
      <c r="E13" s="3">
        <f t="shared" si="0"/>
        <v>2</v>
      </c>
      <c r="F13" s="2" t="s">
        <v>1494</v>
      </c>
      <c r="G13" s="3">
        <v>4</v>
      </c>
      <c r="H13" s="2">
        <v>11.32</v>
      </c>
      <c r="I13" s="2">
        <v>2.82</v>
      </c>
      <c r="J13" s="2">
        <v>-0.18</v>
      </c>
      <c r="K13" s="3">
        <v>2</v>
      </c>
      <c r="L13" s="2">
        <v>8</v>
      </c>
      <c r="M13" s="2">
        <v>-0.5</v>
      </c>
      <c r="N13" s="53">
        <v>-3.5</v>
      </c>
      <c r="O13" s="19">
        <f t="shared" si="1"/>
        <v>1</v>
      </c>
      <c r="R13" s="1" t="s">
        <v>1488</v>
      </c>
      <c r="S13" s="35">
        <f>AVERAGE(E$2:E$21)</f>
        <v>2</v>
      </c>
      <c r="T13" s="36"/>
      <c r="U13" s="35">
        <f>AVERAGE(E$22:E$41)</f>
        <v>4</v>
      </c>
      <c r="V13" s="26"/>
      <c r="W13" s="35">
        <f>AVERAGE(E$42:E$61)</f>
        <v>4</v>
      </c>
      <c r="X13" s="26"/>
      <c r="AA13" t="s">
        <v>1470</v>
      </c>
      <c r="AB13">
        <v>100</v>
      </c>
      <c r="AC13" s="5" t="s">
        <v>1481</v>
      </c>
    </row>
    <row r="14" spans="1:29" x14ac:dyDescent="0.25">
      <c r="A14" s="51"/>
      <c r="B14" s="41"/>
      <c r="C14" t="s">
        <v>263</v>
      </c>
      <c r="D14" t="s">
        <v>271</v>
      </c>
      <c r="E14" s="3">
        <f t="shared" si="0"/>
        <v>2</v>
      </c>
      <c r="F14" s="2" t="s">
        <v>1494</v>
      </c>
      <c r="G14" s="3">
        <v>4</v>
      </c>
      <c r="H14" s="2">
        <v>11.32</v>
      </c>
      <c r="I14" s="2">
        <v>2.82</v>
      </c>
      <c r="J14" s="2">
        <v>-0.18</v>
      </c>
      <c r="K14" s="3">
        <v>2</v>
      </c>
      <c r="L14" s="2">
        <v>8</v>
      </c>
      <c r="M14" s="2">
        <v>-0.5</v>
      </c>
      <c r="N14" s="53">
        <v>-3.5</v>
      </c>
      <c r="O14" s="19">
        <f t="shared" si="1"/>
        <v>1</v>
      </c>
      <c r="R14" s="1" t="s">
        <v>1463</v>
      </c>
      <c r="S14" s="35">
        <f>AVERAGE(G$2:G$21)</f>
        <v>4</v>
      </c>
      <c r="T14" s="26"/>
      <c r="U14" s="35">
        <f>AVERAGE(G$22:G$41)</f>
        <v>4</v>
      </c>
      <c r="V14" s="26"/>
      <c r="W14" s="35">
        <f>AVERAGE(G$42:G$61)</f>
        <v>4</v>
      </c>
      <c r="X14" s="26"/>
      <c r="AA14" t="s">
        <v>1471</v>
      </c>
      <c r="AB14" s="4">
        <v>100000</v>
      </c>
      <c r="AC14" s="5" t="s">
        <v>1482</v>
      </c>
    </row>
    <row r="15" spans="1:29" x14ac:dyDescent="0.25">
      <c r="A15" s="51"/>
      <c r="B15" s="41"/>
      <c r="C15" t="s">
        <v>264</v>
      </c>
      <c r="D15" t="s">
        <v>271</v>
      </c>
      <c r="E15" s="3">
        <f t="shared" si="0"/>
        <v>2</v>
      </c>
      <c r="F15" s="2" t="s">
        <v>1494</v>
      </c>
      <c r="G15" s="3">
        <v>4</v>
      </c>
      <c r="H15" s="2">
        <v>11.32</v>
      </c>
      <c r="I15" s="2">
        <v>2.82</v>
      </c>
      <c r="J15" s="2">
        <v>-0.18</v>
      </c>
      <c r="K15" s="3">
        <v>2</v>
      </c>
      <c r="L15" s="2">
        <v>8</v>
      </c>
      <c r="M15" s="2">
        <v>-0.5</v>
      </c>
      <c r="N15" s="53">
        <v>-3.5</v>
      </c>
      <c r="O15" s="19">
        <f t="shared" si="1"/>
        <v>1</v>
      </c>
      <c r="R15" s="1" t="s">
        <v>1464</v>
      </c>
      <c r="S15" s="24">
        <f>AVERAGE(H$2:H$21)</f>
        <v>11.319999999999997</v>
      </c>
      <c r="T15" s="26"/>
      <c r="U15" s="24">
        <f>AVERAGE(H$22:H$41)</f>
        <v>16.98</v>
      </c>
      <c r="V15" s="25"/>
      <c r="W15" s="24">
        <f>AVERAGE(H$42:H$61)</f>
        <v>22.639999999999993</v>
      </c>
      <c r="X15" s="25"/>
      <c r="AA15" t="s">
        <v>1472</v>
      </c>
      <c r="AB15" t="s">
        <v>1476</v>
      </c>
      <c r="AC15" s="5" t="s">
        <v>1483</v>
      </c>
    </row>
    <row r="16" spans="1:29" x14ac:dyDescent="0.25">
      <c r="A16" s="51"/>
      <c r="B16" s="41"/>
      <c r="C16" t="s">
        <v>265</v>
      </c>
      <c r="D16" t="s">
        <v>271</v>
      </c>
      <c r="E16" s="3">
        <f t="shared" si="0"/>
        <v>2</v>
      </c>
      <c r="F16" s="2" t="s">
        <v>1494</v>
      </c>
      <c r="G16" s="3">
        <v>4</v>
      </c>
      <c r="H16" s="2">
        <v>11.32</v>
      </c>
      <c r="I16" s="2">
        <v>2.82</v>
      </c>
      <c r="J16" s="2">
        <v>-0.18</v>
      </c>
      <c r="K16" s="3">
        <v>2</v>
      </c>
      <c r="L16" s="2">
        <v>8</v>
      </c>
      <c r="M16" s="2">
        <v>-0.5</v>
      </c>
      <c r="N16" s="53">
        <v>-3.5</v>
      </c>
      <c r="O16" s="19">
        <f t="shared" si="1"/>
        <v>1</v>
      </c>
      <c r="R16" s="1" t="s">
        <v>1465</v>
      </c>
      <c r="S16" s="24">
        <f>AVERAGE(I$2:I$21)</f>
        <v>2.82</v>
      </c>
      <c r="T16" s="26"/>
      <c r="U16" s="24">
        <f>AVERAGE(I$22:I$41)</f>
        <v>8.48</v>
      </c>
      <c r="V16" s="25"/>
      <c r="W16" s="24">
        <f>AVERAGE(I$42:I$61)</f>
        <v>14.139999999999995</v>
      </c>
      <c r="X16" s="25"/>
      <c r="AA16" t="s">
        <v>1473</v>
      </c>
      <c r="AB16" t="s">
        <v>1477</v>
      </c>
      <c r="AC16" s="5" t="s">
        <v>1484</v>
      </c>
    </row>
    <row r="17" spans="1:29" x14ac:dyDescent="0.25">
      <c r="A17" s="51"/>
      <c r="B17" s="41"/>
      <c r="C17" t="s">
        <v>266</v>
      </c>
      <c r="D17" t="s">
        <v>271</v>
      </c>
      <c r="E17" s="3">
        <f t="shared" si="0"/>
        <v>2</v>
      </c>
      <c r="F17" s="2" t="s">
        <v>1494</v>
      </c>
      <c r="G17" s="3">
        <v>4</v>
      </c>
      <c r="H17" s="2">
        <v>11.32</v>
      </c>
      <c r="I17" s="2">
        <v>2.82</v>
      </c>
      <c r="J17" s="2">
        <v>-0.18</v>
      </c>
      <c r="K17" s="3">
        <v>2</v>
      </c>
      <c r="L17" s="2">
        <v>8</v>
      </c>
      <c r="M17" s="2">
        <v>-0.5</v>
      </c>
      <c r="N17" s="53">
        <v>-3.5</v>
      </c>
      <c r="O17" s="19">
        <f t="shared" si="1"/>
        <v>1</v>
      </c>
      <c r="R17" s="1" t="s">
        <v>1466</v>
      </c>
      <c r="S17" s="24">
        <f>AVERAGE(J$2:J$21)</f>
        <v>-0.18000000000000005</v>
      </c>
      <c r="T17" s="26"/>
      <c r="U17" s="24">
        <f>AVERAGE(J$22:J$41)</f>
        <v>5.4800000000000022</v>
      </c>
      <c r="V17" s="25"/>
      <c r="W17" s="24">
        <f>AVERAGE(J$42:J$61)</f>
        <v>11.139999999999995</v>
      </c>
      <c r="X17" s="25"/>
      <c r="AA17" t="s">
        <v>1474</v>
      </c>
      <c r="AB17" t="s">
        <v>1478</v>
      </c>
      <c r="AC17" s="5" t="s">
        <v>1485</v>
      </c>
    </row>
    <row r="18" spans="1:29" x14ac:dyDescent="0.25">
      <c r="A18" s="51"/>
      <c r="B18" s="41"/>
      <c r="C18" t="s">
        <v>267</v>
      </c>
      <c r="D18" t="s">
        <v>271</v>
      </c>
      <c r="E18" s="3">
        <f t="shared" si="0"/>
        <v>2</v>
      </c>
      <c r="F18" s="2" t="s">
        <v>1494</v>
      </c>
      <c r="G18" s="3">
        <v>4</v>
      </c>
      <c r="H18" s="2">
        <v>11.32</v>
      </c>
      <c r="I18" s="2">
        <v>2.82</v>
      </c>
      <c r="J18" s="2">
        <v>-0.18</v>
      </c>
      <c r="K18" s="3">
        <v>2</v>
      </c>
      <c r="L18" s="2">
        <v>8</v>
      </c>
      <c r="M18" s="2">
        <v>-0.5</v>
      </c>
      <c r="N18" s="53">
        <v>-3.5</v>
      </c>
      <c r="O18" s="19">
        <f t="shared" si="1"/>
        <v>1</v>
      </c>
      <c r="R18" s="1" t="s">
        <v>1512</v>
      </c>
      <c r="S18" s="35">
        <f>AVERAGE(K$2:K$21)</f>
        <v>2</v>
      </c>
      <c r="T18" s="26"/>
      <c r="U18" s="35">
        <f>AVERAGE(K$22:K$41)</f>
        <v>4</v>
      </c>
      <c r="V18" s="26"/>
      <c r="W18" s="35">
        <f>AVERAGE(K$42:K$61)</f>
        <v>4</v>
      </c>
      <c r="X18" s="26"/>
      <c r="AA18" t="s">
        <v>1475</v>
      </c>
      <c r="AB18" t="s">
        <v>1479</v>
      </c>
      <c r="AC18" s="5" t="s">
        <v>1486</v>
      </c>
    </row>
    <row r="19" spans="1:29" x14ac:dyDescent="0.25">
      <c r="A19" s="51"/>
      <c r="B19" s="41"/>
      <c r="C19" t="s">
        <v>268</v>
      </c>
      <c r="D19" t="s">
        <v>271</v>
      </c>
      <c r="E19" s="3">
        <f t="shared" si="0"/>
        <v>2</v>
      </c>
      <c r="F19" s="2" t="s">
        <v>1494</v>
      </c>
      <c r="G19" s="3">
        <v>4</v>
      </c>
      <c r="H19" s="2">
        <v>11.32</v>
      </c>
      <c r="I19" s="2">
        <v>2.82</v>
      </c>
      <c r="J19" s="2">
        <v>-0.18</v>
      </c>
      <c r="K19" s="3">
        <v>2</v>
      </c>
      <c r="L19" s="2">
        <v>8</v>
      </c>
      <c r="M19" s="2">
        <v>-0.5</v>
      </c>
      <c r="N19" s="53">
        <v>-3.5</v>
      </c>
      <c r="O19" s="19">
        <f t="shared" si="1"/>
        <v>1</v>
      </c>
      <c r="R19" s="1" t="s">
        <v>1493</v>
      </c>
      <c r="S19" s="24">
        <f>AVERAGE(L$2:L$21)</f>
        <v>7.9745000000000008</v>
      </c>
      <c r="T19" s="25"/>
      <c r="U19" s="24">
        <f>AVERAGE(L$22:L$41)</f>
        <v>11.901</v>
      </c>
      <c r="V19" s="25"/>
      <c r="W19" s="24">
        <f>AVERAGE(L$42:L$61)</f>
        <v>15.9055</v>
      </c>
      <c r="X19" s="25"/>
      <c r="AA19" s="6" t="s">
        <v>1489</v>
      </c>
      <c r="AB19" t="s">
        <v>1490</v>
      </c>
    </row>
    <row r="20" spans="1:29" x14ac:dyDescent="0.25">
      <c r="A20" s="51"/>
      <c r="B20" s="41"/>
      <c r="C20" t="s">
        <v>269</v>
      </c>
      <c r="D20" t="s">
        <v>271</v>
      </c>
      <c r="E20" s="3">
        <f t="shared" si="0"/>
        <v>2</v>
      </c>
      <c r="F20" s="2" t="s">
        <v>1494</v>
      </c>
      <c r="G20" s="3">
        <v>4</v>
      </c>
      <c r="H20" s="2">
        <v>11.32</v>
      </c>
      <c r="I20" s="2">
        <v>2.82</v>
      </c>
      <c r="J20" s="2">
        <v>-0.18</v>
      </c>
      <c r="K20" s="3">
        <v>2</v>
      </c>
      <c r="L20" s="2">
        <v>8</v>
      </c>
      <c r="M20" s="2">
        <v>-0.5</v>
      </c>
      <c r="N20" s="53">
        <v>-3.5</v>
      </c>
      <c r="O20" s="19">
        <f t="shared" si="1"/>
        <v>1</v>
      </c>
      <c r="R20" s="1" t="s">
        <v>1467</v>
      </c>
      <c r="S20" s="24">
        <f>AVERAGE(M$2:M$21)</f>
        <v>-0.52500000000000002</v>
      </c>
      <c r="T20" s="25"/>
      <c r="U20" s="24">
        <f>AVERAGE(M$22:M$41)</f>
        <v>3.4009999999999998</v>
      </c>
      <c r="V20" s="25"/>
      <c r="W20" s="24">
        <f>AVERAGE(M$42:M$61)</f>
        <v>7.4054999999999991</v>
      </c>
      <c r="X20" s="25"/>
    </row>
    <row r="21" spans="1:29" x14ac:dyDescent="0.25">
      <c r="A21" s="51"/>
      <c r="B21" s="42"/>
      <c r="C21" s="10" t="s">
        <v>270</v>
      </c>
      <c r="D21" s="10" t="s">
        <v>271</v>
      </c>
      <c r="E21" s="11">
        <f t="shared" si="0"/>
        <v>2</v>
      </c>
      <c r="F21" s="12" t="s">
        <v>1494</v>
      </c>
      <c r="G21" s="11">
        <v>4</v>
      </c>
      <c r="H21" s="12">
        <v>11.32</v>
      </c>
      <c r="I21" s="12">
        <v>2.82</v>
      </c>
      <c r="J21" s="12">
        <v>-0.18</v>
      </c>
      <c r="K21" s="11">
        <v>2</v>
      </c>
      <c r="L21" s="12">
        <v>7.49</v>
      </c>
      <c r="M21" s="12">
        <v>-1</v>
      </c>
      <c r="N21" s="12">
        <v>-4</v>
      </c>
      <c r="O21" s="20">
        <f t="shared" si="1"/>
        <v>1</v>
      </c>
      <c r="R21" s="1" t="s">
        <v>1468</v>
      </c>
      <c r="S21" s="24">
        <f>AVERAGE(N$2:N$21)</f>
        <v>-3.5249999999999999</v>
      </c>
      <c r="T21" s="25"/>
      <c r="U21" s="24">
        <f>AVERAGE(N$22:N$41)</f>
        <v>0.40099999999999997</v>
      </c>
      <c r="V21" s="25"/>
      <c r="W21" s="24">
        <f>AVERAGE(N$42:N$61)</f>
        <v>4.4055</v>
      </c>
      <c r="X21" s="25"/>
    </row>
    <row r="22" spans="1:29" x14ac:dyDescent="0.25">
      <c r="A22" s="51"/>
      <c r="B22" s="40" t="s">
        <v>6</v>
      </c>
      <c r="C22" s="7" t="s">
        <v>272</v>
      </c>
      <c r="D22" s="7" t="s">
        <v>181</v>
      </c>
      <c r="E22" s="8">
        <f t="shared" si="0"/>
        <v>4</v>
      </c>
      <c r="F22" s="9" t="s">
        <v>1495</v>
      </c>
      <c r="G22" s="8">
        <v>4</v>
      </c>
      <c r="H22" s="9">
        <v>16.98</v>
      </c>
      <c r="I22" s="9">
        <v>8.48</v>
      </c>
      <c r="J22" s="9">
        <v>5.48</v>
      </c>
      <c r="K22" s="8">
        <v>4</v>
      </c>
      <c r="L22" s="9">
        <v>11.54</v>
      </c>
      <c r="M22" s="9">
        <v>3.04</v>
      </c>
      <c r="N22" s="53">
        <v>0.04</v>
      </c>
      <c r="O22" s="19">
        <f t="shared" si="1"/>
        <v>1</v>
      </c>
    </row>
    <row r="23" spans="1:29" x14ac:dyDescent="0.25">
      <c r="A23" s="51"/>
      <c r="B23" s="41"/>
      <c r="C23" t="s">
        <v>273</v>
      </c>
      <c r="D23" t="s">
        <v>181</v>
      </c>
      <c r="E23" s="3">
        <f t="shared" si="0"/>
        <v>4</v>
      </c>
      <c r="F23" s="2" t="s">
        <v>1495</v>
      </c>
      <c r="G23" s="3">
        <v>4</v>
      </c>
      <c r="H23" s="2">
        <v>16.98</v>
      </c>
      <c r="I23" s="2">
        <v>8.48</v>
      </c>
      <c r="J23" s="2">
        <v>5.48</v>
      </c>
      <c r="K23" s="3">
        <v>4</v>
      </c>
      <c r="L23" s="2">
        <v>12</v>
      </c>
      <c r="M23" s="2">
        <v>3.5</v>
      </c>
      <c r="N23" s="53">
        <v>0.5</v>
      </c>
      <c r="O23" s="19">
        <f t="shared" si="1"/>
        <v>1</v>
      </c>
      <c r="R23" s="37" t="s">
        <v>1</v>
      </c>
      <c r="S23" s="38"/>
      <c r="T23" s="38"/>
      <c r="U23" s="38"/>
      <c r="V23" s="38"/>
      <c r="W23" s="38"/>
      <c r="X23" s="26"/>
    </row>
    <row r="24" spans="1:29" x14ac:dyDescent="0.25">
      <c r="A24" s="51"/>
      <c r="B24" s="41"/>
      <c r="C24" t="s">
        <v>274</v>
      </c>
      <c r="D24" t="s">
        <v>181</v>
      </c>
      <c r="E24" s="3">
        <f t="shared" si="0"/>
        <v>4</v>
      </c>
      <c r="F24" s="2" t="s">
        <v>1495</v>
      </c>
      <c r="G24" s="3">
        <v>4</v>
      </c>
      <c r="H24" s="2">
        <v>16.98</v>
      </c>
      <c r="I24" s="2">
        <v>8.48</v>
      </c>
      <c r="J24" s="2">
        <v>5.48</v>
      </c>
      <c r="K24" s="3">
        <v>4</v>
      </c>
      <c r="L24" s="2">
        <v>12</v>
      </c>
      <c r="M24" s="2">
        <v>3.5</v>
      </c>
      <c r="N24" s="53">
        <v>0.5</v>
      </c>
      <c r="O24" s="19">
        <f t="shared" si="1"/>
        <v>1</v>
      </c>
      <c r="R24" s="1"/>
      <c r="S24" s="37" t="s">
        <v>1460</v>
      </c>
      <c r="T24" s="26"/>
      <c r="U24" s="37" t="s">
        <v>1461</v>
      </c>
      <c r="V24" s="26"/>
      <c r="W24" s="37" t="s">
        <v>1462</v>
      </c>
      <c r="X24" s="26"/>
    </row>
    <row r="25" spans="1:29" x14ac:dyDescent="0.25">
      <c r="A25" s="51"/>
      <c r="B25" s="41"/>
      <c r="C25" t="s">
        <v>275</v>
      </c>
      <c r="D25" t="s">
        <v>181</v>
      </c>
      <c r="E25" s="3">
        <f t="shared" si="0"/>
        <v>4</v>
      </c>
      <c r="F25" s="2" t="s">
        <v>1495</v>
      </c>
      <c r="G25" s="3">
        <v>4</v>
      </c>
      <c r="H25" s="2">
        <v>16.98</v>
      </c>
      <c r="I25" s="2">
        <v>8.48</v>
      </c>
      <c r="J25" s="2">
        <v>5.48</v>
      </c>
      <c r="K25" s="3">
        <v>4</v>
      </c>
      <c r="L25" s="2">
        <v>12</v>
      </c>
      <c r="M25" s="2">
        <v>3.5</v>
      </c>
      <c r="N25" s="53">
        <v>0.5</v>
      </c>
      <c r="O25" s="19">
        <f t="shared" si="1"/>
        <v>1</v>
      </c>
      <c r="R25" s="1" t="s">
        <v>1488</v>
      </c>
      <c r="S25" s="35">
        <f>AVERAGE(E$62:E$81)</f>
        <v>2</v>
      </c>
      <c r="T25" s="36"/>
      <c r="U25" s="35">
        <f>AVERAGE(E$82:E$101)</f>
        <v>4</v>
      </c>
      <c r="V25" s="26"/>
      <c r="W25" s="35">
        <f>AVERAGE(E$102:E$121)</f>
        <v>4</v>
      </c>
      <c r="X25" s="26"/>
    </row>
    <row r="26" spans="1:29" x14ac:dyDescent="0.25">
      <c r="A26" s="51"/>
      <c r="B26" s="41"/>
      <c r="C26" t="s">
        <v>276</v>
      </c>
      <c r="D26" t="s">
        <v>181</v>
      </c>
      <c r="E26" s="3">
        <f t="shared" si="0"/>
        <v>4</v>
      </c>
      <c r="F26" s="2" t="s">
        <v>1495</v>
      </c>
      <c r="G26" s="3">
        <v>4</v>
      </c>
      <c r="H26" s="2">
        <v>16.98</v>
      </c>
      <c r="I26" s="2">
        <v>8.48</v>
      </c>
      <c r="J26" s="2">
        <v>5.48</v>
      </c>
      <c r="K26" s="3">
        <v>4</v>
      </c>
      <c r="L26" s="2">
        <v>11.97</v>
      </c>
      <c r="M26" s="2">
        <v>3.47</v>
      </c>
      <c r="N26" s="53">
        <v>0.47</v>
      </c>
      <c r="O26" s="19">
        <f t="shared" si="1"/>
        <v>1</v>
      </c>
      <c r="R26" s="1" t="s">
        <v>1463</v>
      </c>
      <c r="S26" s="35">
        <f>AVERAGE(G$62:G$81)</f>
        <v>4</v>
      </c>
      <c r="T26" s="36"/>
      <c r="U26" s="35">
        <f>AVERAGE(G$82:G$101)</f>
        <v>4</v>
      </c>
      <c r="V26" s="36"/>
      <c r="W26" s="35">
        <f>AVERAGE(G$102:G$121)</f>
        <v>4</v>
      </c>
      <c r="X26" s="36"/>
    </row>
    <row r="27" spans="1:29" x14ac:dyDescent="0.25">
      <c r="A27" s="51"/>
      <c r="B27" s="41"/>
      <c r="C27" t="s">
        <v>277</v>
      </c>
      <c r="D27" t="s">
        <v>181</v>
      </c>
      <c r="E27" s="3">
        <f t="shared" si="0"/>
        <v>4</v>
      </c>
      <c r="F27" s="2" t="s">
        <v>1495</v>
      </c>
      <c r="G27" s="3">
        <v>4</v>
      </c>
      <c r="H27" s="2">
        <v>16.98</v>
      </c>
      <c r="I27" s="2">
        <v>8.48</v>
      </c>
      <c r="J27" s="2">
        <v>5.48</v>
      </c>
      <c r="K27" s="3">
        <v>4</v>
      </c>
      <c r="L27" s="2">
        <v>12</v>
      </c>
      <c r="M27" s="2">
        <v>3.5</v>
      </c>
      <c r="N27" s="53">
        <v>0.5</v>
      </c>
      <c r="O27" s="19">
        <f t="shared" si="1"/>
        <v>1</v>
      </c>
      <c r="R27" s="1" t="s">
        <v>1464</v>
      </c>
      <c r="S27" s="24">
        <f>AVERAGE(H$62:H$81)</f>
        <v>13.729999999999999</v>
      </c>
      <c r="T27" s="25"/>
      <c r="U27" s="24">
        <f>AVERAGE(H$82:H$101)</f>
        <v>20.589999999999993</v>
      </c>
      <c r="V27" s="25"/>
      <c r="W27" s="35">
        <f>AVERAGE(H$102:H$121)</f>
        <v>27.459999999999997</v>
      </c>
      <c r="X27" s="36"/>
    </row>
    <row r="28" spans="1:29" x14ac:dyDescent="0.25">
      <c r="A28" s="51"/>
      <c r="B28" s="41"/>
      <c r="C28" t="s">
        <v>278</v>
      </c>
      <c r="D28" t="s">
        <v>181</v>
      </c>
      <c r="E28" s="3">
        <f t="shared" si="0"/>
        <v>4</v>
      </c>
      <c r="F28" s="2" t="s">
        <v>1495</v>
      </c>
      <c r="G28" s="3">
        <v>4</v>
      </c>
      <c r="H28" s="2">
        <v>16.98</v>
      </c>
      <c r="I28" s="2">
        <v>8.48</v>
      </c>
      <c r="J28" s="2">
        <v>5.48</v>
      </c>
      <c r="K28" s="3">
        <v>4</v>
      </c>
      <c r="L28" s="2">
        <v>12</v>
      </c>
      <c r="M28" s="2">
        <v>3.5</v>
      </c>
      <c r="N28" s="53">
        <v>0.5</v>
      </c>
      <c r="O28" s="19">
        <f t="shared" si="1"/>
        <v>1</v>
      </c>
      <c r="R28" s="1" t="s">
        <v>1465</v>
      </c>
      <c r="S28" s="24">
        <f>AVERAGE(I$62:I$81)</f>
        <v>5.2300000000000022</v>
      </c>
      <c r="T28" s="25"/>
      <c r="U28" s="24">
        <f>AVERAGE(I$82:I$101)</f>
        <v>12.090000000000002</v>
      </c>
      <c r="V28" s="25"/>
      <c r="W28" s="35">
        <f>AVERAGE(I$102:I$121)</f>
        <v>18.959999999999997</v>
      </c>
      <c r="X28" s="36"/>
    </row>
    <row r="29" spans="1:29" x14ac:dyDescent="0.25">
      <c r="A29" s="51"/>
      <c r="B29" s="41"/>
      <c r="C29" t="s">
        <v>279</v>
      </c>
      <c r="D29" t="s">
        <v>181</v>
      </c>
      <c r="E29" s="3">
        <f t="shared" si="0"/>
        <v>4</v>
      </c>
      <c r="F29" s="2" t="s">
        <v>1495</v>
      </c>
      <c r="G29" s="3">
        <v>4</v>
      </c>
      <c r="H29" s="2">
        <v>16.98</v>
      </c>
      <c r="I29" s="2">
        <v>8.48</v>
      </c>
      <c r="J29" s="2">
        <v>5.48</v>
      </c>
      <c r="K29" s="3">
        <v>4</v>
      </c>
      <c r="L29" s="2">
        <v>12</v>
      </c>
      <c r="M29" s="2">
        <v>3.5</v>
      </c>
      <c r="N29" s="53">
        <v>0.5</v>
      </c>
      <c r="O29" s="19">
        <f t="shared" si="1"/>
        <v>1</v>
      </c>
      <c r="R29" s="1" t="s">
        <v>1466</v>
      </c>
      <c r="S29" s="24">
        <f>AVERAGE(J$62:J$81)</f>
        <v>2.2299999999999995</v>
      </c>
      <c r="T29" s="25"/>
      <c r="U29" s="24">
        <f>AVERAGE(J$82:J$101)</f>
        <v>9.0900000000000016</v>
      </c>
      <c r="V29" s="25"/>
      <c r="W29" s="35">
        <f>AVERAGE(J$102:J$121)</f>
        <v>15.960000000000003</v>
      </c>
      <c r="X29" s="36"/>
    </row>
    <row r="30" spans="1:29" x14ac:dyDescent="0.25">
      <c r="A30" s="51"/>
      <c r="B30" s="41"/>
      <c r="C30" t="s">
        <v>280</v>
      </c>
      <c r="D30" t="s">
        <v>181</v>
      </c>
      <c r="E30" s="3">
        <f t="shared" si="0"/>
        <v>4</v>
      </c>
      <c r="F30" s="2" t="s">
        <v>1495</v>
      </c>
      <c r="G30" s="3">
        <v>4</v>
      </c>
      <c r="H30" s="2">
        <v>16.98</v>
      </c>
      <c r="I30" s="2">
        <v>8.48</v>
      </c>
      <c r="J30" s="2">
        <v>5.48</v>
      </c>
      <c r="K30" s="3">
        <v>4</v>
      </c>
      <c r="L30" s="2">
        <v>12</v>
      </c>
      <c r="M30" s="2">
        <v>3.5</v>
      </c>
      <c r="N30" s="53">
        <v>0.5</v>
      </c>
      <c r="O30" s="19">
        <f t="shared" si="1"/>
        <v>1</v>
      </c>
      <c r="R30" s="1" t="s">
        <v>1512</v>
      </c>
      <c r="S30" s="35">
        <f>AVERAGE(K$62:K$81)</f>
        <v>2</v>
      </c>
      <c r="T30" s="36"/>
      <c r="U30" s="35">
        <f>AVERAGE(K$82:K$101)</f>
        <v>4</v>
      </c>
      <c r="V30" s="36"/>
      <c r="W30" s="35">
        <f>AVERAGE(K$102:K$121)</f>
        <v>4</v>
      </c>
      <c r="X30" s="36"/>
    </row>
    <row r="31" spans="1:29" x14ac:dyDescent="0.25">
      <c r="A31" s="51"/>
      <c r="B31" s="41"/>
      <c r="C31" t="s">
        <v>281</v>
      </c>
      <c r="D31" t="s">
        <v>181</v>
      </c>
      <c r="E31" s="3">
        <f t="shared" si="0"/>
        <v>4</v>
      </c>
      <c r="F31" s="2" t="s">
        <v>1495</v>
      </c>
      <c r="G31" s="3">
        <v>4</v>
      </c>
      <c r="H31" s="2">
        <v>16.98</v>
      </c>
      <c r="I31" s="2">
        <v>8.48</v>
      </c>
      <c r="J31" s="2">
        <v>5.48</v>
      </c>
      <c r="K31" s="3">
        <v>4</v>
      </c>
      <c r="L31" s="2">
        <v>10.84</v>
      </c>
      <c r="M31" s="2">
        <v>2.34</v>
      </c>
      <c r="N31" s="53">
        <v>-0.66</v>
      </c>
      <c r="O31" s="19">
        <f t="shared" si="1"/>
        <v>1</v>
      </c>
      <c r="R31" s="1" t="s">
        <v>1493</v>
      </c>
      <c r="S31" s="24">
        <f>AVERAGE(L$62:L$81)</f>
        <v>8</v>
      </c>
      <c r="T31" s="25"/>
      <c r="U31" s="24">
        <f>AVERAGE(L$82:L$101)</f>
        <v>12</v>
      </c>
      <c r="V31" s="25"/>
      <c r="W31" s="35">
        <f>AVERAGE(L$102:L$121)</f>
        <v>15.897499999999999</v>
      </c>
      <c r="X31" s="36"/>
    </row>
    <row r="32" spans="1:29" x14ac:dyDescent="0.25">
      <c r="A32" s="51"/>
      <c r="B32" s="41"/>
      <c r="C32" t="s">
        <v>282</v>
      </c>
      <c r="D32" t="s">
        <v>181</v>
      </c>
      <c r="E32" s="3">
        <f t="shared" si="0"/>
        <v>4</v>
      </c>
      <c r="F32" s="2" t="s">
        <v>1495</v>
      </c>
      <c r="G32" s="3">
        <v>4</v>
      </c>
      <c r="H32" s="2">
        <v>16.98</v>
      </c>
      <c r="I32" s="2">
        <v>8.48</v>
      </c>
      <c r="J32" s="2">
        <v>5.48</v>
      </c>
      <c r="K32" s="3">
        <v>4</v>
      </c>
      <c r="L32" s="2">
        <v>12</v>
      </c>
      <c r="M32" s="2">
        <v>3.5</v>
      </c>
      <c r="N32" s="53">
        <v>0.5</v>
      </c>
      <c r="O32" s="19">
        <f t="shared" si="1"/>
        <v>1</v>
      </c>
      <c r="R32" s="1" t="s">
        <v>1467</v>
      </c>
      <c r="S32" s="24">
        <f>AVERAGE(M$62:M$81)</f>
        <v>-0.5</v>
      </c>
      <c r="T32" s="25"/>
      <c r="U32" s="24">
        <f>AVERAGE(M$82:M$101)</f>
        <v>3.5</v>
      </c>
      <c r="V32" s="25"/>
      <c r="W32" s="35">
        <f>AVERAGE(M$102:M$121)</f>
        <v>7.3974999999999991</v>
      </c>
      <c r="X32" s="36"/>
    </row>
    <row r="33" spans="1:24" x14ac:dyDescent="0.25">
      <c r="A33" s="51"/>
      <c r="B33" s="41"/>
      <c r="C33" t="s">
        <v>283</v>
      </c>
      <c r="D33" t="s">
        <v>181</v>
      </c>
      <c r="E33" s="3">
        <f t="shared" si="0"/>
        <v>4</v>
      </c>
      <c r="F33" s="2" t="s">
        <v>1495</v>
      </c>
      <c r="G33" s="3">
        <v>4</v>
      </c>
      <c r="H33" s="2">
        <v>16.98</v>
      </c>
      <c r="I33" s="2">
        <v>8.48</v>
      </c>
      <c r="J33" s="2">
        <v>5.48</v>
      </c>
      <c r="K33" s="3">
        <v>4</v>
      </c>
      <c r="L33" s="2">
        <v>12</v>
      </c>
      <c r="M33" s="2">
        <v>3.5</v>
      </c>
      <c r="N33" s="53">
        <v>0.5</v>
      </c>
      <c r="O33" s="19">
        <f t="shared" si="1"/>
        <v>1</v>
      </c>
      <c r="R33" s="1" t="s">
        <v>1468</v>
      </c>
      <c r="S33" s="24">
        <f>AVERAGE(N$62:N$81)</f>
        <v>-3.5</v>
      </c>
      <c r="T33" s="25"/>
      <c r="U33" s="24">
        <f>AVERAGE(N$82:N$101)</f>
        <v>0.5</v>
      </c>
      <c r="V33" s="25"/>
      <c r="W33" s="35">
        <f>AVERAGE(N$102:N$121)</f>
        <v>4.3975</v>
      </c>
      <c r="X33" s="36"/>
    </row>
    <row r="34" spans="1:24" x14ac:dyDescent="0.25">
      <c r="A34" s="51"/>
      <c r="B34" s="41"/>
      <c r="C34" t="s">
        <v>284</v>
      </c>
      <c r="D34" t="s">
        <v>181</v>
      </c>
      <c r="E34" s="3">
        <f t="shared" si="0"/>
        <v>4</v>
      </c>
      <c r="F34" s="2" t="s">
        <v>1495</v>
      </c>
      <c r="G34" s="3">
        <v>4</v>
      </c>
      <c r="H34" s="2">
        <v>16.98</v>
      </c>
      <c r="I34" s="2">
        <v>8.48</v>
      </c>
      <c r="J34" s="2">
        <v>5.48</v>
      </c>
      <c r="K34" s="3">
        <v>4</v>
      </c>
      <c r="L34" s="2">
        <v>12</v>
      </c>
      <c r="M34" s="2">
        <v>3.5</v>
      </c>
      <c r="N34" s="53">
        <v>0.5</v>
      </c>
      <c r="O34" s="19">
        <f t="shared" si="1"/>
        <v>1</v>
      </c>
    </row>
    <row r="35" spans="1:24" x14ac:dyDescent="0.25">
      <c r="A35" s="51"/>
      <c r="B35" s="41"/>
      <c r="C35" t="s">
        <v>285</v>
      </c>
      <c r="D35" t="s">
        <v>181</v>
      </c>
      <c r="E35" s="3">
        <f t="shared" si="0"/>
        <v>4</v>
      </c>
      <c r="F35" s="2" t="s">
        <v>1495</v>
      </c>
      <c r="G35" s="3">
        <v>4</v>
      </c>
      <c r="H35" s="2">
        <v>16.98</v>
      </c>
      <c r="I35" s="2">
        <v>8.48</v>
      </c>
      <c r="J35" s="2">
        <v>5.48</v>
      </c>
      <c r="K35" s="3">
        <v>4</v>
      </c>
      <c r="L35" s="2">
        <v>12</v>
      </c>
      <c r="M35" s="2">
        <v>3.5</v>
      </c>
      <c r="N35" s="53">
        <v>0.5</v>
      </c>
      <c r="O35" s="19">
        <f t="shared" si="1"/>
        <v>1</v>
      </c>
      <c r="R35" s="37" t="s">
        <v>2</v>
      </c>
      <c r="S35" s="38"/>
      <c r="T35" s="38"/>
      <c r="U35" s="38"/>
      <c r="V35" s="38"/>
      <c r="W35" s="38"/>
      <c r="X35" s="26"/>
    </row>
    <row r="36" spans="1:24" x14ac:dyDescent="0.25">
      <c r="A36" s="51"/>
      <c r="B36" s="41"/>
      <c r="C36" t="s">
        <v>286</v>
      </c>
      <c r="D36" t="s">
        <v>181</v>
      </c>
      <c r="E36" s="3">
        <f t="shared" si="0"/>
        <v>4</v>
      </c>
      <c r="F36" s="2" t="s">
        <v>1495</v>
      </c>
      <c r="G36" s="3">
        <v>4</v>
      </c>
      <c r="H36" s="2">
        <v>16.98</v>
      </c>
      <c r="I36" s="2">
        <v>8.48</v>
      </c>
      <c r="J36" s="2">
        <v>5.48</v>
      </c>
      <c r="K36" s="3">
        <v>4</v>
      </c>
      <c r="L36" s="2">
        <v>11.67</v>
      </c>
      <c r="M36" s="2">
        <v>3.17</v>
      </c>
      <c r="N36" s="53">
        <v>0.17</v>
      </c>
      <c r="O36" s="19">
        <f t="shared" si="1"/>
        <v>1</v>
      </c>
      <c r="R36" s="1"/>
      <c r="S36" s="37" t="s">
        <v>1460</v>
      </c>
      <c r="T36" s="26"/>
      <c r="U36" s="37" t="s">
        <v>1461</v>
      </c>
      <c r="V36" s="26"/>
      <c r="W36" s="37" t="s">
        <v>1462</v>
      </c>
      <c r="X36" s="26"/>
    </row>
    <row r="37" spans="1:24" x14ac:dyDescent="0.25">
      <c r="A37" s="51"/>
      <c r="B37" s="41"/>
      <c r="C37" t="s">
        <v>287</v>
      </c>
      <c r="D37" t="s">
        <v>181</v>
      </c>
      <c r="E37" s="3">
        <f t="shared" si="0"/>
        <v>4</v>
      </c>
      <c r="F37" s="2" t="s">
        <v>1495</v>
      </c>
      <c r="G37" s="3">
        <v>4</v>
      </c>
      <c r="H37" s="2">
        <v>16.98</v>
      </c>
      <c r="I37" s="2">
        <v>8.48</v>
      </c>
      <c r="J37" s="2">
        <v>5.48</v>
      </c>
      <c r="K37" s="3">
        <v>4</v>
      </c>
      <c r="L37" s="2">
        <v>12</v>
      </c>
      <c r="M37" s="2">
        <v>3.5</v>
      </c>
      <c r="N37" s="53">
        <v>0.5</v>
      </c>
      <c r="O37" s="19">
        <f t="shared" si="1"/>
        <v>1</v>
      </c>
      <c r="R37" s="1" t="s">
        <v>1488</v>
      </c>
      <c r="S37" s="35">
        <f>AVERAGE(E$122:E$141)</f>
        <v>2</v>
      </c>
      <c r="T37" s="36"/>
      <c r="U37" s="35">
        <f>AVERAGE(E$142:E$161)</f>
        <v>4</v>
      </c>
      <c r="V37" s="26"/>
      <c r="W37" s="35">
        <f>AVERAGE(E$162:E$181)</f>
        <v>4</v>
      </c>
      <c r="X37" s="26"/>
    </row>
    <row r="38" spans="1:24" x14ac:dyDescent="0.25">
      <c r="A38" s="51"/>
      <c r="B38" s="41"/>
      <c r="C38" t="s">
        <v>288</v>
      </c>
      <c r="D38" t="s">
        <v>181</v>
      </c>
      <c r="E38" s="3">
        <f t="shared" si="0"/>
        <v>4</v>
      </c>
      <c r="F38" s="2" t="s">
        <v>1495</v>
      </c>
      <c r="G38" s="3">
        <v>4</v>
      </c>
      <c r="H38" s="2">
        <v>16.98</v>
      </c>
      <c r="I38" s="2">
        <v>8.48</v>
      </c>
      <c r="J38" s="2">
        <v>5.48</v>
      </c>
      <c r="K38" s="3">
        <v>4</v>
      </c>
      <c r="L38" s="2">
        <v>12</v>
      </c>
      <c r="M38" s="2">
        <v>3.5</v>
      </c>
      <c r="N38" s="53">
        <v>0.5</v>
      </c>
      <c r="O38" s="19">
        <f t="shared" si="1"/>
        <v>1</v>
      </c>
      <c r="R38" s="1" t="s">
        <v>1463</v>
      </c>
      <c r="S38" s="35">
        <f>AVERAGE(G$122:G$141)</f>
        <v>4</v>
      </c>
      <c r="T38" s="36"/>
      <c r="U38" s="35">
        <f>AVERAGE(G$142:G$161)</f>
        <v>4</v>
      </c>
      <c r="V38" s="26"/>
      <c r="W38" s="35">
        <f>AVERAGE(G$162:G$181)</f>
        <v>4</v>
      </c>
      <c r="X38" s="26"/>
    </row>
    <row r="39" spans="1:24" x14ac:dyDescent="0.25">
      <c r="A39" s="51"/>
      <c r="B39" s="41"/>
      <c r="C39" t="s">
        <v>289</v>
      </c>
      <c r="D39" t="s">
        <v>181</v>
      </c>
      <c r="E39" s="3">
        <f t="shared" si="0"/>
        <v>4</v>
      </c>
      <c r="F39" s="2" t="s">
        <v>1495</v>
      </c>
      <c r="G39" s="3">
        <v>4</v>
      </c>
      <c r="H39" s="2">
        <v>16.98</v>
      </c>
      <c r="I39" s="2">
        <v>8.48</v>
      </c>
      <c r="J39" s="2">
        <v>5.48</v>
      </c>
      <c r="K39" s="3">
        <v>4</v>
      </c>
      <c r="L39" s="2">
        <v>12</v>
      </c>
      <c r="M39" s="2">
        <v>3.5</v>
      </c>
      <c r="N39" s="53">
        <v>0.5</v>
      </c>
      <c r="O39" s="19">
        <f t="shared" si="1"/>
        <v>1</v>
      </c>
      <c r="R39" s="1" t="s">
        <v>1464</v>
      </c>
      <c r="S39" s="24">
        <f>AVERAGE(H$122:H$141)</f>
        <v>14.864999999999995</v>
      </c>
      <c r="T39" s="25"/>
      <c r="U39" s="24">
        <f>AVERAGE(H$142:H$161)</f>
        <v>22.29999999999999</v>
      </c>
      <c r="V39" s="25"/>
      <c r="W39" s="24">
        <f>AVERAGE(H$162:H$181)</f>
        <v>29.735000000000003</v>
      </c>
      <c r="X39" s="25"/>
    </row>
    <row r="40" spans="1:24" x14ac:dyDescent="0.25">
      <c r="A40" s="51"/>
      <c r="B40" s="41"/>
      <c r="C40" t="s">
        <v>290</v>
      </c>
      <c r="D40" t="s">
        <v>181</v>
      </c>
      <c r="E40" s="3">
        <f t="shared" si="0"/>
        <v>4</v>
      </c>
      <c r="F40" s="2" t="s">
        <v>1495</v>
      </c>
      <c r="G40" s="3">
        <v>4</v>
      </c>
      <c r="H40" s="2">
        <v>16.98</v>
      </c>
      <c r="I40" s="2">
        <v>8.48</v>
      </c>
      <c r="J40" s="2">
        <v>5.48</v>
      </c>
      <c r="K40" s="3">
        <v>4</v>
      </c>
      <c r="L40" s="2">
        <v>12</v>
      </c>
      <c r="M40" s="2">
        <v>3.5</v>
      </c>
      <c r="N40" s="53">
        <v>0.5</v>
      </c>
      <c r="O40" s="19">
        <f t="shared" si="1"/>
        <v>1</v>
      </c>
      <c r="R40" s="1" t="s">
        <v>1465</v>
      </c>
      <c r="S40" s="24">
        <f>AVERAGE(I$122:I$141)</f>
        <v>6.3700000000000028</v>
      </c>
      <c r="T40" s="25"/>
      <c r="U40" s="24">
        <f>AVERAGE(I$142:I$161)</f>
        <v>13.8</v>
      </c>
      <c r="V40" s="25"/>
      <c r="W40" s="24">
        <f>AVERAGE(I$162:I$181)</f>
        <v>21.235000000000007</v>
      </c>
      <c r="X40" s="25"/>
    </row>
    <row r="41" spans="1:24" x14ac:dyDescent="0.25">
      <c r="A41" s="51"/>
      <c r="B41" s="42"/>
      <c r="C41" s="10" t="s">
        <v>291</v>
      </c>
      <c r="D41" s="10" t="s">
        <v>181</v>
      </c>
      <c r="E41" s="11">
        <f t="shared" si="0"/>
        <v>4</v>
      </c>
      <c r="F41" s="12" t="s">
        <v>1495</v>
      </c>
      <c r="G41" s="11">
        <v>4</v>
      </c>
      <c r="H41" s="12">
        <v>16.98</v>
      </c>
      <c r="I41" s="12">
        <v>8.48</v>
      </c>
      <c r="J41" s="12">
        <v>5.48</v>
      </c>
      <c r="K41" s="11">
        <v>4</v>
      </c>
      <c r="L41" s="12">
        <v>12</v>
      </c>
      <c r="M41" s="12">
        <v>3.5</v>
      </c>
      <c r="N41" s="12">
        <v>0.5</v>
      </c>
      <c r="O41" s="20">
        <f t="shared" si="1"/>
        <v>1</v>
      </c>
      <c r="R41" s="1" t="s">
        <v>1466</v>
      </c>
      <c r="S41" s="24">
        <f>AVERAGE(J$122:J$141)</f>
        <v>3.3699999999999997</v>
      </c>
      <c r="T41" s="25"/>
      <c r="U41" s="24">
        <f>AVERAGE(J$142:J$161)</f>
        <v>10.8</v>
      </c>
      <c r="V41" s="25"/>
      <c r="W41" s="24">
        <f>AVERAGE(J$162:J$181)</f>
        <v>18.235000000000007</v>
      </c>
      <c r="X41" s="25"/>
    </row>
    <row r="42" spans="1:24" x14ac:dyDescent="0.25">
      <c r="A42" s="51"/>
      <c r="B42" s="40" t="s">
        <v>5</v>
      </c>
      <c r="C42" s="7" t="s">
        <v>292</v>
      </c>
      <c r="D42" s="7" t="s">
        <v>181</v>
      </c>
      <c r="E42" s="8">
        <f t="shared" si="0"/>
        <v>4</v>
      </c>
      <c r="F42" s="9" t="s">
        <v>1496</v>
      </c>
      <c r="G42" s="8">
        <v>4</v>
      </c>
      <c r="H42" s="9">
        <v>22.64</v>
      </c>
      <c r="I42" s="9">
        <v>14.14</v>
      </c>
      <c r="J42" s="9">
        <v>11.14</v>
      </c>
      <c r="K42" s="8">
        <v>4</v>
      </c>
      <c r="L42" s="9">
        <v>16</v>
      </c>
      <c r="M42" s="9">
        <v>7.5</v>
      </c>
      <c r="N42" s="53">
        <v>4.5</v>
      </c>
      <c r="O42" s="19">
        <f t="shared" si="1"/>
        <v>1</v>
      </c>
      <c r="R42" s="1" t="s">
        <v>1512</v>
      </c>
      <c r="S42" s="35">
        <f>AVERAGE(K$122:K$141)</f>
        <v>2</v>
      </c>
      <c r="T42" s="36"/>
      <c r="U42" s="35">
        <f>AVERAGE(K$142:K$161)</f>
        <v>4</v>
      </c>
      <c r="V42" s="26"/>
      <c r="W42" s="35">
        <f>AVERAGE(K$162:K$181)</f>
        <v>4</v>
      </c>
      <c r="X42" s="26"/>
    </row>
    <row r="43" spans="1:24" x14ac:dyDescent="0.25">
      <c r="A43" s="51"/>
      <c r="B43" s="41"/>
      <c r="C43" t="s">
        <v>293</v>
      </c>
      <c r="D43" t="s">
        <v>181</v>
      </c>
      <c r="E43" s="3">
        <f t="shared" si="0"/>
        <v>4</v>
      </c>
      <c r="F43" s="2" t="s">
        <v>1496</v>
      </c>
      <c r="G43" s="3">
        <v>4</v>
      </c>
      <c r="H43" s="2">
        <v>22.64</v>
      </c>
      <c r="I43" s="2">
        <v>14.14</v>
      </c>
      <c r="J43" s="2">
        <v>11.14</v>
      </c>
      <c r="K43" s="3">
        <v>4</v>
      </c>
      <c r="L43" s="2">
        <v>16</v>
      </c>
      <c r="M43" s="2">
        <v>7.5</v>
      </c>
      <c r="N43" s="53">
        <v>4.5</v>
      </c>
      <c r="O43" s="19">
        <f t="shared" si="1"/>
        <v>1</v>
      </c>
      <c r="R43" s="1" t="s">
        <v>1493</v>
      </c>
      <c r="S43" s="24">
        <f>AVERAGE(L$122:L$141)</f>
        <v>8</v>
      </c>
      <c r="T43" s="25"/>
      <c r="U43" s="24">
        <f>AVERAGE(L$142:L$161)</f>
        <v>11.946999999999999</v>
      </c>
      <c r="V43" s="25"/>
      <c r="W43" s="24">
        <f>AVERAGE(L$162:L$181)</f>
        <v>15.972</v>
      </c>
      <c r="X43" s="25"/>
    </row>
    <row r="44" spans="1:24" x14ac:dyDescent="0.25">
      <c r="A44" s="51"/>
      <c r="B44" s="41"/>
      <c r="C44" t="s">
        <v>294</v>
      </c>
      <c r="D44" t="s">
        <v>181</v>
      </c>
      <c r="E44" s="3">
        <f t="shared" si="0"/>
        <v>4</v>
      </c>
      <c r="F44" s="2" t="s">
        <v>1496</v>
      </c>
      <c r="G44" s="3">
        <v>4</v>
      </c>
      <c r="H44" s="2">
        <v>22.64</v>
      </c>
      <c r="I44" s="2">
        <v>14.14</v>
      </c>
      <c r="J44" s="2">
        <v>11.14</v>
      </c>
      <c r="K44" s="3">
        <v>4</v>
      </c>
      <c r="L44" s="2">
        <v>16</v>
      </c>
      <c r="M44" s="2">
        <v>7.5</v>
      </c>
      <c r="N44" s="53">
        <v>4.5</v>
      </c>
      <c r="O44" s="19">
        <f t="shared" si="1"/>
        <v>1</v>
      </c>
      <c r="R44" s="1" t="s">
        <v>1467</v>
      </c>
      <c r="S44" s="24">
        <f>AVERAGE(M$122:M$141)</f>
        <v>-0.5</v>
      </c>
      <c r="T44" s="25"/>
      <c r="U44" s="24">
        <f>AVERAGE(M$142:M$161)</f>
        <v>3.4470000000000001</v>
      </c>
      <c r="V44" s="25"/>
      <c r="W44" s="24">
        <f>AVERAGE(M$162:M$181)</f>
        <v>7.4719999999999995</v>
      </c>
      <c r="X44" s="25"/>
    </row>
    <row r="45" spans="1:24" x14ac:dyDescent="0.25">
      <c r="A45" s="51"/>
      <c r="B45" s="41"/>
      <c r="C45" t="s">
        <v>295</v>
      </c>
      <c r="D45" t="s">
        <v>181</v>
      </c>
      <c r="E45" s="3">
        <f t="shared" si="0"/>
        <v>4</v>
      </c>
      <c r="F45" s="2" t="s">
        <v>1496</v>
      </c>
      <c r="G45" s="3">
        <v>4</v>
      </c>
      <c r="H45" s="2">
        <v>22.64</v>
      </c>
      <c r="I45" s="2">
        <v>14.14</v>
      </c>
      <c r="J45" s="2">
        <v>11.14</v>
      </c>
      <c r="K45" s="3">
        <v>4</v>
      </c>
      <c r="L45" s="2">
        <v>16</v>
      </c>
      <c r="M45" s="2">
        <v>7.5</v>
      </c>
      <c r="N45" s="53">
        <v>4.5</v>
      </c>
      <c r="O45" s="19">
        <f t="shared" si="1"/>
        <v>1</v>
      </c>
      <c r="R45" s="1" t="s">
        <v>1468</v>
      </c>
      <c r="S45" s="24">
        <f>AVERAGE(N$122:N$141)</f>
        <v>-3.5</v>
      </c>
      <c r="T45" s="25"/>
      <c r="U45" s="24">
        <f>AVERAGE(N$142:N$161)</f>
        <v>0.44699999999999995</v>
      </c>
      <c r="V45" s="25"/>
      <c r="W45" s="24">
        <f>AVERAGE(N$162:N$181)</f>
        <v>4.4719999999999995</v>
      </c>
      <c r="X45" s="25"/>
    </row>
    <row r="46" spans="1:24" x14ac:dyDescent="0.25">
      <c r="A46" s="51"/>
      <c r="B46" s="41"/>
      <c r="C46" t="s">
        <v>296</v>
      </c>
      <c r="D46" t="s">
        <v>181</v>
      </c>
      <c r="E46" s="3">
        <f t="shared" si="0"/>
        <v>4</v>
      </c>
      <c r="F46" s="2" t="s">
        <v>1496</v>
      </c>
      <c r="G46" s="3">
        <v>4</v>
      </c>
      <c r="H46" s="2">
        <v>22.64</v>
      </c>
      <c r="I46" s="2">
        <v>14.14</v>
      </c>
      <c r="J46" s="2">
        <v>11.14</v>
      </c>
      <c r="K46" s="3">
        <v>4</v>
      </c>
      <c r="L46" s="2">
        <v>16</v>
      </c>
      <c r="M46" s="2">
        <v>7.5</v>
      </c>
      <c r="N46" s="53">
        <v>4.5</v>
      </c>
      <c r="O46" s="19">
        <f t="shared" si="1"/>
        <v>1</v>
      </c>
    </row>
    <row r="47" spans="1:24" x14ac:dyDescent="0.25">
      <c r="A47" s="51"/>
      <c r="B47" s="41"/>
      <c r="C47" t="s">
        <v>297</v>
      </c>
      <c r="D47" t="s">
        <v>181</v>
      </c>
      <c r="E47" s="3">
        <f t="shared" si="0"/>
        <v>4</v>
      </c>
      <c r="F47" s="2" t="s">
        <v>1496</v>
      </c>
      <c r="G47" s="3">
        <v>4</v>
      </c>
      <c r="H47" s="2">
        <v>22.64</v>
      </c>
      <c r="I47" s="2">
        <v>14.14</v>
      </c>
      <c r="J47" s="2">
        <v>11.14</v>
      </c>
      <c r="K47" s="3">
        <v>4</v>
      </c>
      <c r="L47" s="2">
        <v>16</v>
      </c>
      <c r="M47" s="2">
        <v>7.5</v>
      </c>
      <c r="N47" s="53">
        <v>4.5</v>
      </c>
      <c r="O47" s="19">
        <f t="shared" si="1"/>
        <v>1</v>
      </c>
      <c r="R47" s="37" t="s">
        <v>1491</v>
      </c>
      <c r="S47" s="38"/>
      <c r="T47" s="38"/>
      <c r="U47" s="38"/>
      <c r="V47" s="38"/>
      <c r="W47" s="38"/>
      <c r="X47" s="26"/>
    </row>
    <row r="48" spans="1:24" x14ac:dyDescent="0.25">
      <c r="A48" s="51"/>
      <c r="B48" s="41"/>
      <c r="C48" t="s">
        <v>298</v>
      </c>
      <c r="D48" t="s">
        <v>181</v>
      </c>
      <c r="E48" s="3">
        <f t="shared" si="0"/>
        <v>4</v>
      </c>
      <c r="F48" s="2" t="s">
        <v>1496</v>
      </c>
      <c r="G48" s="3">
        <v>4</v>
      </c>
      <c r="H48" s="2">
        <v>22.64</v>
      </c>
      <c r="I48" s="2">
        <v>14.14</v>
      </c>
      <c r="J48" s="2">
        <v>11.14</v>
      </c>
      <c r="K48" s="3">
        <v>4</v>
      </c>
      <c r="L48" s="2">
        <v>16</v>
      </c>
      <c r="M48" s="2">
        <v>7.5</v>
      </c>
      <c r="N48" s="53">
        <v>4.5</v>
      </c>
      <c r="O48" s="19">
        <f t="shared" si="1"/>
        <v>1</v>
      </c>
      <c r="R48" s="1"/>
      <c r="S48" s="37" t="s">
        <v>1460</v>
      </c>
      <c r="T48" s="26"/>
      <c r="U48" s="37" t="s">
        <v>1461</v>
      </c>
      <c r="V48" s="26"/>
      <c r="W48" s="37" t="s">
        <v>1462</v>
      </c>
      <c r="X48" s="26"/>
    </row>
    <row r="49" spans="1:24" x14ac:dyDescent="0.25">
      <c r="A49" s="51"/>
      <c r="B49" s="41"/>
      <c r="C49" t="s">
        <v>299</v>
      </c>
      <c r="D49" t="s">
        <v>181</v>
      </c>
      <c r="E49" s="3">
        <f t="shared" si="0"/>
        <v>4</v>
      </c>
      <c r="F49" s="2" t="s">
        <v>1496</v>
      </c>
      <c r="G49" s="3">
        <v>4</v>
      </c>
      <c r="H49" s="2">
        <v>22.64</v>
      </c>
      <c r="I49" s="2">
        <v>14.14</v>
      </c>
      <c r="J49" s="2">
        <v>11.14</v>
      </c>
      <c r="K49" s="3">
        <v>4</v>
      </c>
      <c r="L49" s="2">
        <v>15.67</v>
      </c>
      <c r="M49" s="2">
        <v>7.17</v>
      </c>
      <c r="N49" s="53">
        <v>4.17</v>
      </c>
      <c r="O49" s="19">
        <f t="shared" si="1"/>
        <v>1</v>
      </c>
      <c r="R49" s="1" t="s">
        <v>1488</v>
      </c>
      <c r="S49" s="35">
        <f>AVERAGE(E$182:E$201)</f>
        <v>2</v>
      </c>
      <c r="T49" s="36"/>
      <c r="U49" s="35">
        <f>AVERAGE(E$202:E$221)</f>
        <v>4</v>
      </c>
      <c r="V49" s="26"/>
      <c r="W49" s="35">
        <f>AVERAGE(E$222:E$241)</f>
        <v>4</v>
      </c>
      <c r="X49" s="26"/>
    </row>
    <row r="50" spans="1:24" x14ac:dyDescent="0.25">
      <c r="A50" s="51"/>
      <c r="B50" s="41"/>
      <c r="C50" t="s">
        <v>300</v>
      </c>
      <c r="D50" t="s">
        <v>181</v>
      </c>
      <c r="E50" s="3">
        <f t="shared" si="0"/>
        <v>4</v>
      </c>
      <c r="F50" s="2" t="s">
        <v>1496</v>
      </c>
      <c r="G50" s="3">
        <v>4</v>
      </c>
      <c r="H50" s="2">
        <v>22.64</v>
      </c>
      <c r="I50" s="2">
        <v>14.14</v>
      </c>
      <c r="J50" s="2">
        <v>11.14</v>
      </c>
      <c r="K50" s="3">
        <v>4</v>
      </c>
      <c r="L50" s="2">
        <v>16</v>
      </c>
      <c r="M50" s="2">
        <v>7.5</v>
      </c>
      <c r="N50" s="53">
        <v>4.5</v>
      </c>
      <c r="O50" s="19">
        <f t="shared" si="1"/>
        <v>1</v>
      </c>
      <c r="R50" s="1" t="s">
        <v>1463</v>
      </c>
      <c r="S50" s="35">
        <f>AVERAGE(G$182:G$201)</f>
        <v>4</v>
      </c>
      <c r="T50" s="36"/>
      <c r="U50" s="35">
        <f>AVERAGE(G$202:G$221)</f>
        <v>4</v>
      </c>
      <c r="V50" s="26"/>
      <c r="W50" s="35">
        <f>AVERAGE(G$222:G$241)</f>
        <v>4</v>
      </c>
      <c r="X50" s="26"/>
    </row>
    <row r="51" spans="1:24" x14ac:dyDescent="0.25">
      <c r="A51" s="51"/>
      <c r="B51" s="41"/>
      <c r="C51" t="s">
        <v>301</v>
      </c>
      <c r="D51" t="s">
        <v>181</v>
      </c>
      <c r="E51" s="3">
        <f t="shared" si="0"/>
        <v>4</v>
      </c>
      <c r="F51" s="2" t="s">
        <v>1496</v>
      </c>
      <c r="G51" s="3">
        <v>4</v>
      </c>
      <c r="H51" s="2">
        <v>22.64</v>
      </c>
      <c r="I51" s="2">
        <v>14.14</v>
      </c>
      <c r="J51" s="2">
        <v>11.14</v>
      </c>
      <c r="K51" s="3">
        <v>4</v>
      </c>
      <c r="L51" s="2">
        <v>15.84</v>
      </c>
      <c r="M51" s="2">
        <v>7.34</v>
      </c>
      <c r="N51" s="53">
        <v>4.34</v>
      </c>
      <c r="O51" s="19">
        <f t="shared" si="1"/>
        <v>1</v>
      </c>
      <c r="R51" s="1" t="s">
        <v>1464</v>
      </c>
      <c r="S51" s="24">
        <f>AVERAGE(H$182:H$201)</f>
        <v>15.789999999999997</v>
      </c>
      <c r="T51" s="25"/>
      <c r="U51" s="24">
        <f>AVERAGE(H$202:H$221)</f>
        <v>23.680000000000003</v>
      </c>
      <c r="V51" s="25"/>
      <c r="W51" s="24">
        <f>AVERAGE(H$222:H$241)</f>
        <v>31.570000000000004</v>
      </c>
      <c r="X51" s="25"/>
    </row>
    <row r="52" spans="1:24" x14ac:dyDescent="0.25">
      <c r="A52" s="51"/>
      <c r="B52" s="41"/>
      <c r="C52" t="s">
        <v>302</v>
      </c>
      <c r="D52" t="s">
        <v>181</v>
      </c>
      <c r="E52" s="3">
        <f t="shared" si="0"/>
        <v>4</v>
      </c>
      <c r="F52" s="2" t="s">
        <v>1496</v>
      </c>
      <c r="G52" s="3">
        <v>4</v>
      </c>
      <c r="H52" s="2">
        <v>22.64</v>
      </c>
      <c r="I52" s="2">
        <v>14.14</v>
      </c>
      <c r="J52" s="2">
        <v>11.14</v>
      </c>
      <c r="K52" s="3">
        <v>4</v>
      </c>
      <c r="L52" s="2">
        <v>16</v>
      </c>
      <c r="M52" s="2">
        <v>7.5</v>
      </c>
      <c r="N52" s="53">
        <v>4.5</v>
      </c>
      <c r="O52" s="19">
        <f t="shared" si="1"/>
        <v>1</v>
      </c>
      <c r="R52" s="1" t="s">
        <v>1465</v>
      </c>
      <c r="S52" s="24">
        <f>AVERAGE(I$182:I$201)</f>
        <v>7.2900000000000018</v>
      </c>
      <c r="T52" s="25"/>
      <c r="U52" s="24">
        <f>AVERAGE(I$202:I$221)</f>
        <v>15.180000000000003</v>
      </c>
      <c r="V52" s="25"/>
      <c r="W52" s="24">
        <f>AVERAGE(I$222:I$241)</f>
        <v>23.069999999999997</v>
      </c>
      <c r="X52" s="25"/>
    </row>
    <row r="53" spans="1:24" x14ac:dyDescent="0.25">
      <c r="A53" s="51"/>
      <c r="B53" s="41"/>
      <c r="C53" t="s">
        <v>303</v>
      </c>
      <c r="D53" t="s">
        <v>181</v>
      </c>
      <c r="E53" s="3">
        <f t="shared" si="0"/>
        <v>4</v>
      </c>
      <c r="F53" s="2" t="s">
        <v>1496</v>
      </c>
      <c r="G53" s="3">
        <v>4</v>
      </c>
      <c r="H53" s="2">
        <v>22.64</v>
      </c>
      <c r="I53" s="2">
        <v>14.14</v>
      </c>
      <c r="J53" s="2">
        <v>11.14</v>
      </c>
      <c r="K53" s="3">
        <v>4</v>
      </c>
      <c r="L53" s="2">
        <v>16</v>
      </c>
      <c r="M53" s="2">
        <v>7.5</v>
      </c>
      <c r="N53" s="53">
        <v>4.5</v>
      </c>
      <c r="O53" s="19">
        <f t="shared" si="1"/>
        <v>1</v>
      </c>
      <c r="R53" s="1" t="s">
        <v>1466</v>
      </c>
      <c r="S53" s="24">
        <f>AVERAGE(J$182:J$201)</f>
        <v>4.2900000000000009</v>
      </c>
      <c r="T53" s="25"/>
      <c r="U53" s="24">
        <f>AVERAGE(J$202:J$221)</f>
        <v>12.180000000000003</v>
      </c>
      <c r="V53" s="25"/>
      <c r="W53" s="24">
        <f>AVERAGE(J$222:J$241)</f>
        <v>20.069999999999997</v>
      </c>
      <c r="X53" s="25"/>
    </row>
    <row r="54" spans="1:24" x14ac:dyDescent="0.25">
      <c r="A54" s="51"/>
      <c r="B54" s="41"/>
      <c r="C54" t="s">
        <v>304</v>
      </c>
      <c r="D54" t="s">
        <v>181</v>
      </c>
      <c r="E54" s="3">
        <f t="shared" si="0"/>
        <v>4</v>
      </c>
      <c r="F54" s="2" t="s">
        <v>1496</v>
      </c>
      <c r="G54" s="3">
        <v>4</v>
      </c>
      <c r="H54" s="2">
        <v>22.64</v>
      </c>
      <c r="I54" s="2">
        <v>14.14</v>
      </c>
      <c r="J54" s="2">
        <v>11.14</v>
      </c>
      <c r="K54" s="3">
        <v>4</v>
      </c>
      <c r="L54" s="2">
        <v>16</v>
      </c>
      <c r="M54" s="2">
        <v>7.5</v>
      </c>
      <c r="N54" s="53">
        <v>4.5</v>
      </c>
      <c r="O54" s="19">
        <f t="shared" si="1"/>
        <v>1</v>
      </c>
      <c r="R54" s="1" t="s">
        <v>1512</v>
      </c>
      <c r="S54" s="35">
        <f>AVERAGE(K$182:K$201)</f>
        <v>2</v>
      </c>
      <c r="T54" s="36"/>
      <c r="U54" s="35">
        <f>AVERAGE(K$202:K$221)</f>
        <v>4</v>
      </c>
      <c r="V54" s="26"/>
      <c r="W54" s="35">
        <f>AVERAGE(K$222:K$241)</f>
        <v>4</v>
      </c>
      <c r="X54" s="26"/>
    </row>
    <row r="55" spans="1:24" x14ac:dyDescent="0.25">
      <c r="A55" s="51"/>
      <c r="B55" s="41"/>
      <c r="C55" t="s">
        <v>305</v>
      </c>
      <c r="D55" t="s">
        <v>181</v>
      </c>
      <c r="E55" s="3">
        <f t="shared" si="0"/>
        <v>4</v>
      </c>
      <c r="F55" s="2" t="s">
        <v>1496</v>
      </c>
      <c r="G55" s="3">
        <v>4</v>
      </c>
      <c r="H55" s="2">
        <v>22.64</v>
      </c>
      <c r="I55" s="2">
        <v>14.14</v>
      </c>
      <c r="J55" s="2">
        <v>11.14</v>
      </c>
      <c r="K55" s="3">
        <v>4</v>
      </c>
      <c r="L55" s="2">
        <v>15.35</v>
      </c>
      <c r="M55" s="2">
        <v>6.85</v>
      </c>
      <c r="N55" s="53">
        <v>3.85</v>
      </c>
      <c r="O55" s="19">
        <f t="shared" si="1"/>
        <v>1</v>
      </c>
      <c r="R55" s="1" t="s">
        <v>1493</v>
      </c>
      <c r="S55" s="24">
        <f>AVERAGE(L$182:L$201)</f>
        <v>7.9515000000000002</v>
      </c>
      <c r="T55" s="25"/>
      <c r="U55" s="24">
        <f>AVERAGE(L$202:L$221)</f>
        <v>12</v>
      </c>
      <c r="V55" s="25"/>
      <c r="W55" s="24">
        <f>AVERAGE(L$222:L$241)</f>
        <v>16</v>
      </c>
      <c r="X55" s="25"/>
    </row>
    <row r="56" spans="1:24" x14ac:dyDescent="0.25">
      <c r="A56" s="51"/>
      <c r="B56" s="41"/>
      <c r="C56" t="s">
        <v>306</v>
      </c>
      <c r="D56" t="s">
        <v>181</v>
      </c>
      <c r="E56" s="3">
        <f t="shared" si="0"/>
        <v>4</v>
      </c>
      <c r="F56" s="2" t="s">
        <v>1496</v>
      </c>
      <c r="G56" s="3">
        <v>4</v>
      </c>
      <c r="H56" s="2">
        <v>22.64</v>
      </c>
      <c r="I56" s="2">
        <v>14.14</v>
      </c>
      <c r="J56" s="2">
        <v>11.14</v>
      </c>
      <c r="K56" s="3">
        <v>4</v>
      </c>
      <c r="L56" s="2">
        <v>15.52</v>
      </c>
      <c r="M56" s="2">
        <v>7.02</v>
      </c>
      <c r="N56" s="53">
        <v>4.0199999999999996</v>
      </c>
      <c r="O56" s="19">
        <f t="shared" si="1"/>
        <v>1</v>
      </c>
      <c r="R56" s="1" t="s">
        <v>1467</v>
      </c>
      <c r="S56" s="24">
        <f>AVERAGE(M$182:M$201)</f>
        <v>-0.54849999999999999</v>
      </c>
      <c r="T56" s="25"/>
      <c r="U56" s="24">
        <f>AVERAGE(M$202:M$221)</f>
        <v>3.5</v>
      </c>
      <c r="V56" s="25"/>
      <c r="W56" s="24">
        <f>AVERAGE(M$222:M$241)</f>
        <v>7.5</v>
      </c>
      <c r="X56" s="25"/>
    </row>
    <row r="57" spans="1:24" x14ac:dyDescent="0.25">
      <c r="A57" s="51"/>
      <c r="B57" s="41"/>
      <c r="C57" t="s">
        <v>307</v>
      </c>
      <c r="D57" t="s">
        <v>181</v>
      </c>
      <c r="E57" s="3">
        <f t="shared" si="0"/>
        <v>4</v>
      </c>
      <c r="F57" s="2" t="s">
        <v>1496</v>
      </c>
      <c r="G57" s="3">
        <v>4</v>
      </c>
      <c r="H57" s="2">
        <v>22.64</v>
      </c>
      <c r="I57" s="2">
        <v>14.14</v>
      </c>
      <c r="J57" s="2">
        <v>11.14</v>
      </c>
      <c r="K57" s="3">
        <v>4</v>
      </c>
      <c r="L57" s="2">
        <v>15.96</v>
      </c>
      <c r="M57" s="2">
        <v>7.46</v>
      </c>
      <c r="N57" s="53">
        <v>4.46</v>
      </c>
      <c r="O57" s="19">
        <f t="shared" si="1"/>
        <v>1</v>
      </c>
      <c r="R57" s="1" t="s">
        <v>1468</v>
      </c>
      <c r="S57" s="24">
        <f>AVERAGE(N$182:N$201)</f>
        <v>-3.5484999999999998</v>
      </c>
      <c r="T57" s="25"/>
      <c r="U57" s="24">
        <f>AVERAGE(N$202:N$221)</f>
        <v>0.5</v>
      </c>
      <c r="V57" s="25"/>
      <c r="W57" s="24">
        <f>AVERAGE(N$222:N$241)</f>
        <v>4.5</v>
      </c>
      <c r="X57" s="25"/>
    </row>
    <row r="58" spans="1:24" x14ac:dyDescent="0.25">
      <c r="A58" s="51"/>
      <c r="B58" s="41"/>
      <c r="C58" t="s">
        <v>308</v>
      </c>
      <c r="D58" t="s">
        <v>181</v>
      </c>
      <c r="E58" s="3">
        <f t="shared" si="0"/>
        <v>4</v>
      </c>
      <c r="F58" s="2" t="s">
        <v>1496</v>
      </c>
      <c r="G58" s="3">
        <v>4</v>
      </c>
      <c r="H58" s="2">
        <v>22.64</v>
      </c>
      <c r="I58" s="2">
        <v>14.14</v>
      </c>
      <c r="J58" s="2">
        <v>11.14</v>
      </c>
      <c r="K58" s="3">
        <v>4</v>
      </c>
      <c r="L58" s="2">
        <v>15.77</v>
      </c>
      <c r="M58" s="2">
        <v>7.27</v>
      </c>
      <c r="N58" s="53">
        <v>4.2699999999999996</v>
      </c>
      <c r="O58" s="19">
        <f t="shared" si="1"/>
        <v>1</v>
      </c>
    </row>
    <row r="59" spans="1:24" x14ac:dyDescent="0.25">
      <c r="A59" s="51"/>
      <c r="B59" s="41"/>
      <c r="C59" t="s">
        <v>309</v>
      </c>
      <c r="D59" t="s">
        <v>181</v>
      </c>
      <c r="E59" s="3">
        <f t="shared" si="0"/>
        <v>4</v>
      </c>
      <c r="F59" s="2" t="s">
        <v>1496</v>
      </c>
      <c r="G59" s="3">
        <v>4</v>
      </c>
      <c r="H59" s="2">
        <v>22.64</v>
      </c>
      <c r="I59" s="2">
        <v>14.14</v>
      </c>
      <c r="J59" s="2">
        <v>11.14</v>
      </c>
      <c r="K59" s="3">
        <v>4</v>
      </c>
      <c r="L59" s="2">
        <v>16</v>
      </c>
      <c r="M59" s="2">
        <v>7.5</v>
      </c>
      <c r="N59" s="53">
        <v>4.5</v>
      </c>
      <c r="O59" s="19">
        <f t="shared" si="1"/>
        <v>1</v>
      </c>
      <c r="R59" s="37"/>
      <c r="S59" s="38"/>
      <c r="T59" s="38"/>
      <c r="U59" s="38"/>
      <c r="V59" s="38"/>
      <c r="W59" s="38"/>
      <c r="X59" s="26"/>
    </row>
    <row r="60" spans="1:24" x14ac:dyDescent="0.25">
      <c r="A60" s="51"/>
      <c r="B60" s="41"/>
      <c r="C60" t="s">
        <v>310</v>
      </c>
      <c r="D60" t="s">
        <v>181</v>
      </c>
      <c r="E60" s="3">
        <f t="shared" si="0"/>
        <v>4</v>
      </c>
      <c r="F60" s="2" t="s">
        <v>1496</v>
      </c>
      <c r="G60" s="3">
        <v>4</v>
      </c>
      <c r="H60" s="2">
        <v>22.64</v>
      </c>
      <c r="I60" s="2">
        <v>14.14</v>
      </c>
      <c r="J60" s="2">
        <v>11.14</v>
      </c>
      <c r="K60" s="3">
        <v>4</v>
      </c>
      <c r="L60" s="2">
        <v>16</v>
      </c>
      <c r="M60" s="2">
        <v>7.5</v>
      </c>
      <c r="N60" s="53">
        <v>4.5</v>
      </c>
      <c r="O60" s="19">
        <f t="shared" si="1"/>
        <v>1</v>
      </c>
      <c r="R60" s="1"/>
      <c r="S60" s="30" t="s">
        <v>1460</v>
      </c>
      <c r="T60" s="30"/>
      <c r="U60" s="30" t="s">
        <v>1461</v>
      </c>
      <c r="V60" s="30"/>
      <c r="W60" s="30" t="s">
        <v>1462</v>
      </c>
      <c r="X60" s="30"/>
    </row>
    <row r="61" spans="1:24" x14ac:dyDescent="0.25">
      <c r="A61" s="52"/>
      <c r="B61" s="42"/>
      <c r="C61" s="10" t="s">
        <v>311</v>
      </c>
      <c r="D61" s="10" t="s">
        <v>181</v>
      </c>
      <c r="E61" s="11">
        <f t="shared" si="0"/>
        <v>4</v>
      </c>
      <c r="F61" s="12" t="s">
        <v>1496</v>
      </c>
      <c r="G61" s="11">
        <v>4</v>
      </c>
      <c r="H61" s="12">
        <v>22.64</v>
      </c>
      <c r="I61" s="12">
        <v>14.14</v>
      </c>
      <c r="J61" s="12">
        <v>11.14</v>
      </c>
      <c r="K61" s="11">
        <v>4</v>
      </c>
      <c r="L61" s="12">
        <v>16</v>
      </c>
      <c r="M61" s="12">
        <v>7.5</v>
      </c>
      <c r="N61" s="12">
        <v>4.5</v>
      </c>
      <c r="O61" s="20">
        <f t="shared" si="1"/>
        <v>1</v>
      </c>
      <c r="Q61" s="32" t="s">
        <v>0</v>
      </c>
      <c r="R61" s="1" t="s">
        <v>1488</v>
      </c>
      <c r="S61" s="35">
        <f>AVERAGE(E$2:E$21)</f>
        <v>2</v>
      </c>
      <c r="T61" s="36"/>
      <c r="U61" s="35">
        <f>AVERAGE(E$22:E$41)</f>
        <v>4</v>
      </c>
      <c r="V61" s="26"/>
      <c r="W61" s="35">
        <f>AVERAGE(E$42:E$61)</f>
        <v>4</v>
      </c>
      <c r="X61" s="26"/>
    </row>
    <row r="62" spans="1:24" x14ac:dyDescent="0.25">
      <c r="A62" s="50" t="s">
        <v>1</v>
      </c>
      <c r="B62" s="40" t="s">
        <v>4</v>
      </c>
      <c r="C62" s="7" t="s">
        <v>312</v>
      </c>
      <c r="D62" s="7" t="s">
        <v>271</v>
      </c>
      <c r="E62" s="8">
        <f t="shared" si="0"/>
        <v>2</v>
      </c>
      <c r="F62" s="9" t="s">
        <v>1497</v>
      </c>
      <c r="G62" s="8">
        <v>4</v>
      </c>
      <c r="H62" s="9">
        <v>13.73</v>
      </c>
      <c r="I62" s="9">
        <v>5.23</v>
      </c>
      <c r="J62" s="9">
        <v>2.23</v>
      </c>
      <c r="K62" s="8">
        <v>2</v>
      </c>
      <c r="L62" s="9">
        <v>8</v>
      </c>
      <c r="M62" s="9">
        <v>-0.5</v>
      </c>
      <c r="N62" s="53">
        <v>-3.5</v>
      </c>
      <c r="O62" s="19">
        <f t="shared" si="1"/>
        <v>1</v>
      </c>
      <c r="Q62" s="33"/>
      <c r="R62" s="1" t="s">
        <v>1512</v>
      </c>
      <c r="S62" s="35">
        <f>AVERAGE(K$2:K$21)</f>
        <v>2</v>
      </c>
      <c r="T62" s="26"/>
      <c r="U62" s="35">
        <f>AVERAGE(K$22:K$41)</f>
        <v>4</v>
      </c>
      <c r="V62" s="26"/>
      <c r="W62" s="35">
        <f>AVERAGE(K$42:K$61)</f>
        <v>4</v>
      </c>
      <c r="X62" s="26"/>
    </row>
    <row r="63" spans="1:24" x14ac:dyDescent="0.25">
      <c r="A63" s="51"/>
      <c r="B63" s="41"/>
      <c r="C63" t="s">
        <v>313</v>
      </c>
      <c r="D63" t="s">
        <v>271</v>
      </c>
      <c r="E63" s="3">
        <f t="shared" si="0"/>
        <v>2</v>
      </c>
      <c r="F63" s="2" t="s">
        <v>1497</v>
      </c>
      <c r="G63" s="3">
        <v>4</v>
      </c>
      <c r="H63" s="2">
        <v>13.73</v>
      </c>
      <c r="I63" s="2">
        <v>5.23</v>
      </c>
      <c r="J63" s="2">
        <v>2.23</v>
      </c>
      <c r="K63" s="3">
        <v>2</v>
      </c>
      <c r="L63" s="2">
        <v>8</v>
      </c>
      <c r="M63" s="2">
        <v>-0.5</v>
      </c>
      <c r="N63" s="53">
        <v>-3.5</v>
      </c>
      <c r="O63" s="19">
        <f t="shared" si="1"/>
        <v>1</v>
      </c>
      <c r="Q63" s="34"/>
      <c r="R63" s="1" t="s">
        <v>1463</v>
      </c>
      <c r="S63" s="35">
        <f>AVERAGE(G$2:G$21)</f>
        <v>4</v>
      </c>
      <c r="T63" s="26"/>
      <c r="U63" s="35">
        <f>AVERAGE(G$22:G$41)</f>
        <v>4</v>
      </c>
      <c r="V63" s="26"/>
      <c r="W63" s="35">
        <f>AVERAGE(G$42:G$61)</f>
        <v>4</v>
      </c>
      <c r="X63" s="26"/>
    </row>
    <row r="64" spans="1:24" x14ac:dyDescent="0.25">
      <c r="A64" s="51"/>
      <c r="B64" s="41"/>
      <c r="C64" t="s">
        <v>314</v>
      </c>
      <c r="D64" t="s">
        <v>271</v>
      </c>
      <c r="E64" s="3">
        <f t="shared" si="0"/>
        <v>2</v>
      </c>
      <c r="F64" s="2" t="s">
        <v>1497</v>
      </c>
      <c r="G64" s="3">
        <v>4</v>
      </c>
      <c r="H64" s="2">
        <v>13.73</v>
      </c>
      <c r="I64" s="2">
        <v>5.23</v>
      </c>
      <c r="J64" s="2">
        <v>2.23</v>
      </c>
      <c r="K64" s="3">
        <v>2</v>
      </c>
      <c r="L64" s="2">
        <v>8</v>
      </c>
      <c r="M64" s="2">
        <v>-0.5</v>
      </c>
      <c r="N64" s="53">
        <v>-3.5</v>
      </c>
      <c r="O64" s="19">
        <f t="shared" si="1"/>
        <v>1</v>
      </c>
      <c r="Q64" s="32" t="s">
        <v>1</v>
      </c>
      <c r="R64" s="1" t="s">
        <v>1488</v>
      </c>
      <c r="S64" s="35">
        <v>2</v>
      </c>
      <c r="T64" s="36"/>
      <c r="U64" s="35">
        <v>4</v>
      </c>
      <c r="V64" s="26"/>
      <c r="W64" s="35">
        <v>4</v>
      </c>
      <c r="X64" s="26"/>
    </row>
    <row r="65" spans="1:24" x14ac:dyDescent="0.25">
      <c r="A65" s="51"/>
      <c r="B65" s="41"/>
      <c r="C65" t="s">
        <v>315</v>
      </c>
      <c r="D65" t="s">
        <v>271</v>
      </c>
      <c r="E65" s="3">
        <f t="shared" si="0"/>
        <v>2</v>
      </c>
      <c r="F65" s="2" t="s">
        <v>1497</v>
      </c>
      <c r="G65" s="3">
        <v>4</v>
      </c>
      <c r="H65" s="2">
        <v>13.73</v>
      </c>
      <c r="I65" s="2">
        <v>5.23</v>
      </c>
      <c r="J65" s="2">
        <v>2.23</v>
      </c>
      <c r="K65" s="3">
        <v>2</v>
      </c>
      <c r="L65" s="2">
        <v>8</v>
      </c>
      <c r="M65" s="2">
        <v>-0.5</v>
      </c>
      <c r="N65" s="53">
        <v>-3.5</v>
      </c>
      <c r="O65" s="19">
        <f t="shared" si="1"/>
        <v>1</v>
      </c>
      <c r="Q65" s="33"/>
      <c r="R65" s="1" t="s">
        <v>1512</v>
      </c>
      <c r="S65" s="35">
        <v>2</v>
      </c>
      <c r="T65" s="36"/>
      <c r="U65" s="35">
        <v>4</v>
      </c>
      <c r="V65" s="36"/>
      <c r="W65" s="35">
        <v>4</v>
      </c>
      <c r="X65" s="36"/>
    </row>
    <row r="66" spans="1:24" x14ac:dyDescent="0.25">
      <c r="A66" s="51"/>
      <c r="B66" s="41"/>
      <c r="C66" t="s">
        <v>316</v>
      </c>
      <c r="D66" t="s">
        <v>271</v>
      </c>
      <c r="E66" s="3">
        <f t="shared" ref="E66:E129" si="2">IF(D66="Muito Fraca", 1, IF(D66="Fraca", 2, IF(D66="Boa", 3, 4)))</f>
        <v>2</v>
      </c>
      <c r="F66" s="2" t="s">
        <v>1497</v>
      </c>
      <c r="G66" s="3">
        <v>4</v>
      </c>
      <c r="H66" s="2">
        <v>13.73</v>
      </c>
      <c r="I66" s="2">
        <v>5.23</v>
      </c>
      <c r="J66" s="2">
        <v>2.23</v>
      </c>
      <c r="K66" s="3">
        <v>2</v>
      </c>
      <c r="L66" s="2">
        <v>8</v>
      </c>
      <c r="M66" s="2">
        <v>-0.5</v>
      </c>
      <c r="N66" s="53">
        <v>-3.5</v>
      </c>
      <c r="O66" s="19">
        <f t="shared" si="1"/>
        <v>1</v>
      </c>
      <c r="Q66" s="34"/>
      <c r="R66" s="1" t="s">
        <v>1463</v>
      </c>
      <c r="S66" s="35">
        <v>4</v>
      </c>
      <c r="T66" s="36"/>
      <c r="U66" s="35">
        <v>4</v>
      </c>
      <c r="V66" s="36"/>
      <c r="W66" s="35">
        <v>4</v>
      </c>
      <c r="X66" s="36"/>
    </row>
    <row r="67" spans="1:24" x14ac:dyDescent="0.25">
      <c r="A67" s="51"/>
      <c r="B67" s="41"/>
      <c r="C67" t="s">
        <v>317</v>
      </c>
      <c r="D67" t="s">
        <v>271</v>
      </c>
      <c r="E67" s="3">
        <f t="shared" si="2"/>
        <v>2</v>
      </c>
      <c r="F67" s="2" t="s">
        <v>1497</v>
      </c>
      <c r="G67" s="3">
        <v>4</v>
      </c>
      <c r="H67" s="2">
        <v>13.73</v>
      </c>
      <c r="I67" s="2">
        <v>5.23</v>
      </c>
      <c r="J67" s="2">
        <v>2.23</v>
      </c>
      <c r="K67" s="3">
        <v>2</v>
      </c>
      <c r="L67" s="2">
        <v>8</v>
      </c>
      <c r="M67" s="2">
        <v>-0.5</v>
      </c>
      <c r="N67" s="53">
        <v>-3.5</v>
      </c>
      <c r="O67" s="19">
        <f t="shared" ref="O67:O130" si="3">E67/K67</f>
        <v>1</v>
      </c>
      <c r="Q67" s="32" t="s">
        <v>2</v>
      </c>
      <c r="R67" s="1" t="s">
        <v>1488</v>
      </c>
      <c r="S67" s="35">
        <v>2</v>
      </c>
      <c r="T67" s="36"/>
      <c r="U67" s="35">
        <v>4</v>
      </c>
      <c r="V67" s="26"/>
      <c r="W67" s="35">
        <v>4</v>
      </c>
      <c r="X67" s="26"/>
    </row>
    <row r="68" spans="1:24" x14ac:dyDescent="0.25">
      <c r="A68" s="51"/>
      <c r="B68" s="41"/>
      <c r="C68" t="s">
        <v>318</v>
      </c>
      <c r="D68" t="s">
        <v>271</v>
      </c>
      <c r="E68" s="3">
        <f t="shared" si="2"/>
        <v>2</v>
      </c>
      <c r="F68" s="2" t="s">
        <v>1497</v>
      </c>
      <c r="G68" s="3">
        <v>4</v>
      </c>
      <c r="H68" s="2">
        <v>13.73</v>
      </c>
      <c r="I68" s="2">
        <v>5.23</v>
      </c>
      <c r="J68" s="2">
        <v>2.23</v>
      </c>
      <c r="K68" s="3">
        <v>2</v>
      </c>
      <c r="L68" s="2">
        <v>8</v>
      </c>
      <c r="M68" s="2">
        <v>-0.5</v>
      </c>
      <c r="N68" s="53">
        <v>-3.5</v>
      </c>
      <c r="O68" s="19">
        <f t="shared" si="3"/>
        <v>1</v>
      </c>
      <c r="Q68" s="33"/>
      <c r="R68" s="1" t="s">
        <v>1512</v>
      </c>
      <c r="S68" s="35">
        <v>2</v>
      </c>
      <c r="T68" s="36"/>
      <c r="U68" s="35">
        <v>4</v>
      </c>
      <c r="V68" s="26"/>
      <c r="W68" s="35">
        <v>4</v>
      </c>
      <c r="X68" s="26"/>
    </row>
    <row r="69" spans="1:24" x14ac:dyDescent="0.25">
      <c r="A69" s="51"/>
      <c r="B69" s="41"/>
      <c r="C69" t="s">
        <v>319</v>
      </c>
      <c r="D69" t="s">
        <v>271</v>
      </c>
      <c r="E69" s="3">
        <f t="shared" si="2"/>
        <v>2</v>
      </c>
      <c r="F69" s="2" t="s">
        <v>1497</v>
      </c>
      <c r="G69" s="3">
        <v>4</v>
      </c>
      <c r="H69" s="2">
        <v>13.73</v>
      </c>
      <c r="I69" s="2">
        <v>5.23</v>
      </c>
      <c r="J69" s="2">
        <v>2.23</v>
      </c>
      <c r="K69" s="3">
        <v>2</v>
      </c>
      <c r="L69" s="2">
        <v>8</v>
      </c>
      <c r="M69" s="2">
        <v>-0.5</v>
      </c>
      <c r="N69" s="53">
        <v>-3.5</v>
      </c>
      <c r="O69" s="19">
        <f t="shared" si="3"/>
        <v>1</v>
      </c>
      <c r="Q69" s="34"/>
      <c r="R69" s="1" t="s">
        <v>1463</v>
      </c>
      <c r="S69" s="35">
        <v>4</v>
      </c>
      <c r="T69" s="36"/>
      <c r="U69" s="35">
        <v>4</v>
      </c>
      <c r="V69" s="26"/>
      <c r="W69" s="35">
        <v>4</v>
      </c>
      <c r="X69" s="26"/>
    </row>
    <row r="70" spans="1:24" x14ac:dyDescent="0.25">
      <c r="A70" s="51"/>
      <c r="B70" s="41"/>
      <c r="C70" t="s">
        <v>320</v>
      </c>
      <c r="D70" t="s">
        <v>271</v>
      </c>
      <c r="E70" s="3">
        <f t="shared" si="2"/>
        <v>2</v>
      </c>
      <c r="F70" s="2" t="s">
        <v>1497</v>
      </c>
      <c r="G70" s="3">
        <v>4</v>
      </c>
      <c r="H70" s="2">
        <v>13.73</v>
      </c>
      <c r="I70" s="2">
        <v>5.23</v>
      </c>
      <c r="J70" s="2">
        <v>2.23</v>
      </c>
      <c r="K70" s="3">
        <v>2</v>
      </c>
      <c r="L70" s="2">
        <v>8</v>
      </c>
      <c r="M70" s="2">
        <v>-0.5</v>
      </c>
      <c r="N70" s="53">
        <v>-3.5</v>
      </c>
      <c r="O70" s="19">
        <f t="shared" si="3"/>
        <v>1</v>
      </c>
      <c r="Q70" s="32" t="s">
        <v>1491</v>
      </c>
      <c r="R70" s="1" t="s">
        <v>1488</v>
      </c>
      <c r="S70" s="35">
        <v>2</v>
      </c>
      <c r="T70" s="36"/>
      <c r="U70" s="35">
        <v>4</v>
      </c>
      <c r="V70" s="26"/>
      <c r="W70" s="35">
        <v>4</v>
      </c>
      <c r="X70" s="26"/>
    </row>
    <row r="71" spans="1:24" x14ac:dyDescent="0.25">
      <c r="A71" s="51"/>
      <c r="B71" s="41"/>
      <c r="C71" t="s">
        <v>321</v>
      </c>
      <c r="D71" t="s">
        <v>271</v>
      </c>
      <c r="E71" s="3">
        <f t="shared" si="2"/>
        <v>2</v>
      </c>
      <c r="F71" s="2" t="s">
        <v>1497</v>
      </c>
      <c r="G71" s="3">
        <v>4</v>
      </c>
      <c r="H71" s="2">
        <v>13.73</v>
      </c>
      <c r="I71" s="2">
        <v>5.23</v>
      </c>
      <c r="J71" s="2">
        <v>2.23</v>
      </c>
      <c r="K71" s="3">
        <v>2</v>
      </c>
      <c r="L71" s="2">
        <v>8</v>
      </c>
      <c r="M71" s="2">
        <v>-0.5</v>
      </c>
      <c r="N71" s="53">
        <v>-3.5</v>
      </c>
      <c r="O71" s="19">
        <f t="shared" si="3"/>
        <v>1</v>
      </c>
      <c r="Q71" s="33"/>
      <c r="R71" s="1" t="s">
        <v>1512</v>
      </c>
      <c r="S71" s="35">
        <v>2</v>
      </c>
      <c r="T71" s="36"/>
      <c r="U71" s="35">
        <v>4</v>
      </c>
      <c r="V71" s="26"/>
      <c r="W71" s="35">
        <v>4</v>
      </c>
      <c r="X71" s="26"/>
    </row>
    <row r="72" spans="1:24" x14ac:dyDescent="0.25">
      <c r="A72" s="51"/>
      <c r="B72" s="41"/>
      <c r="C72" t="s">
        <v>322</v>
      </c>
      <c r="D72" t="s">
        <v>271</v>
      </c>
      <c r="E72" s="3">
        <f t="shared" si="2"/>
        <v>2</v>
      </c>
      <c r="F72" s="2" t="s">
        <v>1497</v>
      </c>
      <c r="G72" s="3">
        <v>4</v>
      </c>
      <c r="H72" s="2">
        <v>13.73</v>
      </c>
      <c r="I72" s="2">
        <v>5.23</v>
      </c>
      <c r="J72" s="2">
        <v>2.23</v>
      </c>
      <c r="K72" s="3">
        <v>2</v>
      </c>
      <c r="L72" s="2">
        <v>8</v>
      </c>
      <c r="M72" s="2">
        <v>-0.5</v>
      </c>
      <c r="N72" s="53">
        <v>-3.5</v>
      </c>
      <c r="O72" s="19">
        <f t="shared" si="3"/>
        <v>1</v>
      </c>
      <c r="Q72" s="34"/>
      <c r="R72" s="1" t="s">
        <v>1463</v>
      </c>
      <c r="S72" s="35">
        <v>4</v>
      </c>
      <c r="T72" s="36"/>
      <c r="U72" s="35">
        <v>4</v>
      </c>
      <c r="V72" s="26"/>
      <c r="W72" s="35">
        <v>4</v>
      </c>
      <c r="X72" s="26"/>
    </row>
    <row r="73" spans="1:24" x14ac:dyDescent="0.25">
      <c r="A73" s="51"/>
      <c r="B73" s="41"/>
      <c r="C73" t="s">
        <v>323</v>
      </c>
      <c r="D73" t="s">
        <v>271</v>
      </c>
      <c r="E73" s="3">
        <f t="shared" si="2"/>
        <v>2</v>
      </c>
      <c r="F73" s="2" t="s">
        <v>1497</v>
      </c>
      <c r="G73" s="3">
        <v>4</v>
      </c>
      <c r="H73" s="2">
        <v>13.73</v>
      </c>
      <c r="I73" s="2">
        <v>5.23</v>
      </c>
      <c r="J73" s="2">
        <v>2.23</v>
      </c>
      <c r="K73" s="3">
        <v>2</v>
      </c>
      <c r="L73" s="2">
        <v>8</v>
      </c>
      <c r="M73" s="2">
        <v>-0.5</v>
      </c>
      <c r="N73" s="53">
        <v>-3.5</v>
      </c>
      <c r="O73" s="19">
        <f t="shared" si="3"/>
        <v>1</v>
      </c>
    </row>
    <row r="74" spans="1:24" x14ac:dyDescent="0.25">
      <c r="A74" s="51"/>
      <c r="B74" s="41"/>
      <c r="C74" t="s">
        <v>324</v>
      </c>
      <c r="D74" t="s">
        <v>271</v>
      </c>
      <c r="E74" s="3">
        <f t="shared" si="2"/>
        <v>2</v>
      </c>
      <c r="F74" s="2" t="s">
        <v>1497</v>
      </c>
      <c r="G74" s="3">
        <v>4</v>
      </c>
      <c r="H74" s="2">
        <v>13.73</v>
      </c>
      <c r="I74" s="2">
        <v>5.23</v>
      </c>
      <c r="J74" s="2">
        <v>2.23</v>
      </c>
      <c r="K74" s="3">
        <v>2</v>
      </c>
      <c r="L74" s="2">
        <v>8</v>
      </c>
      <c r="M74" s="2">
        <v>-0.5</v>
      </c>
      <c r="N74" s="53">
        <v>-3.5</v>
      </c>
      <c r="O74" s="19">
        <f t="shared" si="3"/>
        <v>1</v>
      </c>
      <c r="S74" s="30" t="s">
        <v>1460</v>
      </c>
      <c r="T74" s="30"/>
      <c r="U74" s="30" t="s">
        <v>1461</v>
      </c>
      <c r="V74" s="30"/>
      <c r="W74" s="30" t="s">
        <v>1462</v>
      </c>
      <c r="X74" s="30"/>
    </row>
    <row r="75" spans="1:24" ht="15" customHeight="1" x14ac:dyDescent="0.25">
      <c r="A75" s="51"/>
      <c r="B75" s="41"/>
      <c r="C75" t="s">
        <v>325</v>
      </c>
      <c r="D75" t="s">
        <v>271</v>
      </c>
      <c r="E75" s="3">
        <f t="shared" si="2"/>
        <v>2</v>
      </c>
      <c r="F75" s="2" t="s">
        <v>1497</v>
      </c>
      <c r="G75" s="3">
        <v>4</v>
      </c>
      <c r="H75" s="2">
        <v>13.73</v>
      </c>
      <c r="I75" s="2">
        <v>5.23</v>
      </c>
      <c r="J75" s="2">
        <v>2.23</v>
      </c>
      <c r="K75" s="3">
        <v>2</v>
      </c>
      <c r="L75" s="2">
        <v>8</v>
      </c>
      <c r="M75" s="2">
        <v>-0.5</v>
      </c>
      <c r="N75" s="53">
        <v>-3.5</v>
      </c>
      <c r="O75" s="19">
        <f t="shared" si="3"/>
        <v>1</v>
      </c>
      <c r="Q75" s="31" t="s">
        <v>0</v>
      </c>
      <c r="R75" s="1" t="s">
        <v>1493</v>
      </c>
      <c r="S75" s="24">
        <f>AVERAGE(L$2:L$21)</f>
        <v>7.9745000000000008</v>
      </c>
      <c r="T75" s="25"/>
      <c r="U75" s="24">
        <f>AVERAGE(L$22:L$41)</f>
        <v>11.901</v>
      </c>
      <c r="V75" s="25"/>
      <c r="W75" s="24">
        <f>AVERAGE(L$42:L$61)</f>
        <v>15.9055</v>
      </c>
      <c r="X75" s="25"/>
    </row>
    <row r="76" spans="1:24" x14ac:dyDescent="0.25">
      <c r="A76" s="51"/>
      <c r="B76" s="41"/>
      <c r="C76" t="s">
        <v>326</v>
      </c>
      <c r="D76" t="s">
        <v>271</v>
      </c>
      <c r="E76" s="3">
        <f t="shared" si="2"/>
        <v>2</v>
      </c>
      <c r="F76" s="2" t="s">
        <v>1497</v>
      </c>
      <c r="G76" s="3">
        <v>4</v>
      </c>
      <c r="H76" s="2">
        <v>13.73</v>
      </c>
      <c r="I76" s="2">
        <v>5.23</v>
      </c>
      <c r="J76" s="2">
        <v>2.23</v>
      </c>
      <c r="K76" s="3">
        <v>2</v>
      </c>
      <c r="L76" s="2">
        <v>8</v>
      </c>
      <c r="M76" s="2">
        <v>-0.5</v>
      </c>
      <c r="N76" s="53">
        <v>-3.5</v>
      </c>
      <c r="O76" s="19">
        <f t="shared" si="3"/>
        <v>1</v>
      </c>
      <c r="Q76" s="31"/>
      <c r="R76" s="1" t="s">
        <v>1467</v>
      </c>
      <c r="S76" s="24">
        <f>AVERAGE(M$2:M$21)</f>
        <v>-0.52500000000000002</v>
      </c>
      <c r="T76" s="25"/>
      <c r="U76" s="24">
        <f>AVERAGE(M$22:M$41)</f>
        <v>3.4009999999999998</v>
      </c>
      <c r="V76" s="25"/>
      <c r="W76" s="24">
        <f>AVERAGE(M$42:M$61)</f>
        <v>7.4054999999999991</v>
      </c>
      <c r="X76" s="25"/>
    </row>
    <row r="77" spans="1:24" x14ac:dyDescent="0.25">
      <c r="A77" s="51"/>
      <c r="B77" s="41"/>
      <c r="C77" t="s">
        <v>327</v>
      </c>
      <c r="D77" t="s">
        <v>271</v>
      </c>
      <c r="E77" s="3">
        <f t="shared" si="2"/>
        <v>2</v>
      </c>
      <c r="F77" s="2" t="s">
        <v>1497</v>
      </c>
      <c r="G77" s="3">
        <v>4</v>
      </c>
      <c r="H77" s="2">
        <v>13.73</v>
      </c>
      <c r="I77" s="2">
        <v>5.23</v>
      </c>
      <c r="J77" s="2">
        <v>2.23</v>
      </c>
      <c r="K77" s="3">
        <v>2</v>
      </c>
      <c r="L77" s="2">
        <v>8</v>
      </c>
      <c r="M77" s="2">
        <v>-0.5</v>
      </c>
      <c r="N77" s="53">
        <v>-3.5</v>
      </c>
      <c r="O77" s="19">
        <f t="shared" si="3"/>
        <v>1</v>
      </c>
      <c r="Q77" s="31"/>
      <c r="R77" s="1" t="s">
        <v>1468</v>
      </c>
      <c r="S77" s="24">
        <f>AVERAGE(N$2:N$21)</f>
        <v>-3.5249999999999999</v>
      </c>
      <c r="T77" s="25"/>
      <c r="U77" s="24">
        <f>AVERAGE(N$22:N$41)</f>
        <v>0.40099999999999997</v>
      </c>
      <c r="V77" s="25"/>
      <c r="W77" s="24">
        <f>AVERAGE(N$42:N$61)</f>
        <v>4.4055</v>
      </c>
      <c r="X77" s="25"/>
    </row>
    <row r="78" spans="1:24" x14ac:dyDescent="0.25">
      <c r="A78" s="51"/>
      <c r="B78" s="41"/>
      <c r="C78" t="s">
        <v>328</v>
      </c>
      <c r="D78" t="s">
        <v>271</v>
      </c>
      <c r="E78" s="3">
        <f t="shared" si="2"/>
        <v>2</v>
      </c>
      <c r="F78" s="2" t="s">
        <v>1497</v>
      </c>
      <c r="G78" s="3">
        <v>4</v>
      </c>
      <c r="H78" s="2">
        <v>13.73</v>
      </c>
      <c r="I78" s="2">
        <v>5.23</v>
      </c>
      <c r="J78" s="2">
        <v>2.23</v>
      </c>
      <c r="K78" s="3">
        <v>2</v>
      </c>
      <c r="L78" s="2">
        <v>8</v>
      </c>
      <c r="M78" s="2">
        <v>-0.5</v>
      </c>
      <c r="N78" s="53">
        <v>-3.5</v>
      </c>
      <c r="O78" s="19">
        <f t="shared" si="3"/>
        <v>1</v>
      </c>
      <c r="Q78" s="31"/>
      <c r="R78" s="1" t="s">
        <v>1464</v>
      </c>
      <c r="S78" s="24">
        <f>AVERAGE(H$2:H$21)</f>
        <v>11.319999999999997</v>
      </c>
      <c r="T78" s="25"/>
      <c r="U78" s="24">
        <f>AVERAGE(H$22:H$41)</f>
        <v>16.98</v>
      </c>
      <c r="V78" s="25"/>
      <c r="W78" s="24">
        <f>AVERAGE(H$42:H$61)</f>
        <v>22.639999999999993</v>
      </c>
      <c r="X78" s="25"/>
    </row>
    <row r="79" spans="1:24" x14ac:dyDescent="0.25">
      <c r="A79" s="51"/>
      <c r="B79" s="41"/>
      <c r="C79" t="s">
        <v>329</v>
      </c>
      <c r="D79" t="s">
        <v>271</v>
      </c>
      <c r="E79" s="3">
        <f t="shared" si="2"/>
        <v>2</v>
      </c>
      <c r="F79" s="2" t="s">
        <v>1497</v>
      </c>
      <c r="G79" s="3">
        <v>4</v>
      </c>
      <c r="H79" s="2">
        <v>13.73</v>
      </c>
      <c r="I79" s="2">
        <v>5.23</v>
      </c>
      <c r="J79" s="2">
        <v>2.23</v>
      </c>
      <c r="K79" s="3">
        <v>2</v>
      </c>
      <c r="L79" s="2">
        <v>8</v>
      </c>
      <c r="M79" s="2">
        <v>-0.5</v>
      </c>
      <c r="N79" s="53">
        <v>-3.5</v>
      </c>
      <c r="O79" s="19">
        <f t="shared" si="3"/>
        <v>1</v>
      </c>
      <c r="Q79" s="31"/>
      <c r="R79" s="1" t="s">
        <v>1465</v>
      </c>
      <c r="S79" s="24">
        <f>AVERAGE(I$2:I$21)</f>
        <v>2.82</v>
      </c>
      <c r="T79" s="25"/>
      <c r="U79" s="24">
        <f>AVERAGE(I$22:I$41)</f>
        <v>8.48</v>
      </c>
      <c r="V79" s="25"/>
      <c r="W79" s="24">
        <f>AVERAGE(I$42:I$61)</f>
        <v>14.139999999999995</v>
      </c>
      <c r="X79" s="25"/>
    </row>
    <row r="80" spans="1:24" x14ac:dyDescent="0.25">
      <c r="A80" s="51"/>
      <c r="B80" s="41"/>
      <c r="C80" t="s">
        <v>330</v>
      </c>
      <c r="D80" t="s">
        <v>271</v>
      </c>
      <c r="E80" s="3">
        <f t="shared" si="2"/>
        <v>2</v>
      </c>
      <c r="F80" s="2" t="s">
        <v>1497</v>
      </c>
      <c r="G80" s="3">
        <v>4</v>
      </c>
      <c r="H80" s="2">
        <v>13.73</v>
      </c>
      <c r="I80" s="2">
        <v>5.23</v>
      </c>
      <c r="J80" s="2">
        <v>2.23</v>
      </c>
      <c r="K80" s="3">
        <v>2</v>
      </c>
      <c r="L80" s="2">
        <v>8</v>
      </c>
      <c r="M80" s="2">
        <v>-0.5</v>
      </c>
      <c r="N80" s="53">
        <v>-3.5</v>
      </c>
      <c r="O80" s="19">
        <f t="shared" si="3"/>
        <v>1</v>
      </c>
      <c r="Q80" s="31"/>
      <c r="R80" s="1" t="s">
        <v>1466</v>
      </c>
      <c r="S80" s="24">
        <f>AVERAGE(J$2:J$21)</f>
        <v>-0.18000000000000005</v>
      </c>
      <c r="T80" s="25"/>
      <c r="U80" s="24">
        <f>AVERAGE(J$22:J$41)</f>
        <v>5.4800000000000022</v>
      </c>
      <c r="V80" s="25"/>
      <c r="W80" s="24">
        <f>AVERAGE(J$42:J$61)</f>
        <v>11.139999999999995</v>
      </c>
      <c r="X80" s="25"/>
    </row>
    <row r="81" spans="1:24" ht="15" customHeight="1" x14ac:dyDescent="0.25">
      <c r="A81" s="51"/>
      <c r="B81" s="42"/>
      <c r="C81" s="10" t="s">
        <v>331</v>
      </c>
      <c r="D81" s="10" t="s">
        <v>271</v>
      </c>
      <c r="E81" s="11">
        <f t="shared" si="2"/>
        <v>2</v>
      </c>
      <c r="F81" s="12" t="s">
        <v>1497</v>
      </c>
      <c r="G81" s="11">
        <v>4</v>
      </c>
      <c r="H81" s="12">
        <v>13.73</v>
      </c>
      <c r="I81" s="12">
        <v>5.23</v>
      </c>
      <c r="J81" s="12">
        <v>2.23</v>
      </c>
      <c r="K81" s="11">
        <v>2</v>
      </c>
      <c r="L81" s="12">
        <v>8</v>
      </c>
      <c r="M81" s="12">
        <v>-0.5</v>
      </c>
      <c r="N81" s="12">
        <v>-3.5</v>
      </c>
      <c r="O81" s="20">
        <f t="shared" si="3"/>
        <v>1</v>
      </c>
      <c r="Q81" s="29" t="s">
        <v>1</v>
      </c>
      <c r="R81" s="1" t="s">
        <v>1493</v>
      </c>
      <c r="S81" s="24">
        <v>8</v>
      </c>
      <c r="T81" s="25"/>
      <c r="U81" s="24">
        <v>12</v>
      </c>
      <c r="V81" s="25"/>
      <c r="W81" s="24">
        <v>15.897499999999999</v>
      </c>
      <c r="X81" s="25"/>
    </row>
    <row r="82" spans="1:24" x14ac:dyDescent="0.25">
      <c r="A82" s="51"/>
      <c r="B82" s="40" t="s">
        <v>6</v>
      </c>
      <c r="C82" s="7" t="s">
        <v>332</v>
      </c>
      <c r="D82" s="7" t="s">
        <v>181</v>
      </c>
      <c r="E82" s="8">
        <f t="shared" si="2"/>
        <v>4</v>
      </c>
      <c r="F82" s="9" t="s">
        <v>1498</v>
      </c>
      <c r="G82" s="8">
        <v>4</v>
      </c>
      <c r="H82" s="9">
        <v>20.59</v>
      </c>
      <c r="I82" s="9">
        <v>12.09</v>
      </c>
      <c r="J82" s="9">
        <v>9.09</v>
      </c>
      <c r="K82" s="8">
        <v>4</v>
      </c>
      <c r="L82" s="9">
        <v>12</v>
      </c>
      <c r="M82" s="9">
        <v>3.5</v>
      </c>
      <c r="N82" s="53">
        <v>0.5</v>
      </c>
      <c r="O82" s="19">
        <f t="shared" si="3"/>
        <v>1</v>
      </c>
      <c r="Q82" s="29"/>
      <c r="R82" s="1" t="s">
        <v>1467</v>
      </c>
      <c r="S82" s="24">
        <v>-0.5</v>
      </c>
      <c r="T82" s="25"/>
      <c r="U82" s="24">
        <v>3.5</v>
      </c>
      <c r="V82" s="25"/>
      <c r="W82" s="24">
        <v>7.3974999999999991</v>
      </c>
      <c r="X82" s="25"/>
    </row>
    <row r="83" spans="1:24" x14ac:dyDescent="0.25">
      <c r="A83" s="51"/>
      <c r="B83" s="41"/>
      <c r="C83" t="s">
        <v>333</v>
      </c>
      <c r="D83" t="s">
        <v>181</v>
      </c>
      <c r="E83" s="3">
        <f t="shared" si="2"/>
        <v>4</v>
      </c>
      <c r="F83" s="2" t="s">
        <v>1498</v>
      </c>
      <c r="G83" s="3">
        <v>4</v>
      </c>
      <c r="H83" s="2">
        <v>20.59</v>
      </c>
      <c r="I83" s="2">
        <v>12.09</v>
      </c>
      <c r="J83" s="2">
        <v>9.09</v>
      </c>
      <c r="K83" s="3">
        <v>4</v>
      </c>
      <c r="L83" s="2">
        <v>12</v>
      </c>
      <c r="M83" s="2">
        <v>3.5</v>
      </c>
      <c r="N83" s="53">
        <v>0.5</v>
      </c>
      <c r="O83" s="19">
        <f t="shared" si="3"/>
        <v>1</v>
      </c>
      <c r="Q83" s="29"/>
      <c r="R83" s="1" t="s">
        <v>1468</v>
      </c>
      <c r="S83" s="24">
        <v>-3.5</v>
      </c>
      <c r="T83" s="25"/>
      <c r="U83" s="24">
        <v>0.5</v>
      </c>
      <c r="V83" s="25"/>
      <c r="W83" s="24">
        <v>4.3975</v>
      </c>
      <c r="X83" s="25"/>
    </row>
    <row r="84" spans="1:24" x14ac:dyDescent="0.25">
      <c r="A84" s="51"/>
      <c r="B84" s="41"/>
      <c r="C84" t="s">
        <v>334</v>
      </c>
      <c r="D84" t="s">
        <v>181</v>
      </c>
      <c r="E84" s="3">
        <f t="shared" si="2"/>
        <v>4</v>
      </c>
      <c r="F84" s="2" t="s">
        <v>1498</v>
      </c>
      <c r="G84" s="3">
        <v>4</v>
      </c>
      <c r="H84" s="2">
        <v>20.59</v>
      </c>
      <c r="I84" s="2">
        <v>12.09</v>
      </c>
      <c r="J84" s="2">
        <v>9.09</v>
      </c>
      <c r="K84" s="3">
        <v>4</v>
      </c>
      <c r="L84" s="2">
        <v>12</v>
      </c>
      <c r="M84" s="2">
        <v>3.5</v>
      </c>
      <c r="N84" s="53">
        <v>0.5</v>
      </c>
      <c r="O84" s="19">
        <f t="shared" si="3"/>
        <v>1</v>
      </c>
      <c r="Q84" s="29"/>
      <c r="R84" s="1" t="s">
        <v>1464</v>
      </c>
      <c r="S84" s="24">
        <f>AVERAGE(H$62:H$81)</f>
        <v>13.729999999999999</v>
      </c>
      <c r="T84" s="25"/>
      <c r="U84" s="24">
        <f>AVERAGE(H$82:H$101)</f>
        <v>20.589999999999993</v>
      </c>
      <c r="V84" s="25"/>
      <c r="W84" s="24">
        <f>AVERAGE(H$102:H$121)</f>
        <v>27.459999999999997</v>
      </c>
      <c r="X84" s="25"/>
    </row>
    <row r="85" spans="1:24" x14ac:dyDescent="0.25">
      <c r="A85" s="51"/>
      <c r="B85" s="41"/>
      <c r="C85" t="s">
        <v>335</v>
      </c>
      <c r="D85" t="s">
        <v>181</v>
      </c>
      <c r="E85" s="3">
        <f t="shared" si="2"/>
        <v>4</v>
      </c>
      <c r="F85" s="2" t="s">
        <v>1498</v>
      </c>
      <c r="G85" s="3">
        <v>4</v>
      </c>
      <c r="H85" s="2">
        <v>20.59</v>
      </c>
      <c r="I85" s="2">
        <v>12.09</v>
      </c>
      <c r="J85" s="2">
        <v>9.09</v>
      </c>
      <c r="K85" s="3">
        <v>4</v>
      </c>
      <c r="L85" s="2">
        <v>12</v>
      </c>
      <c r="M85" s="2">
        <v>3.5</v>
      </c>
      <c r="N85" s="53">
        <v>0.5</v>
      </c>
      <c r="O85" s="19">
        <f t="shared" si="3"/>
        <v>1</v>
      </c>
      <c r="Q85" s="29"/>
      <c r="R85" s="1" t="s">
        <v>1465</v>
      </c>
      <c r="S85" s="24">
        <f>AVERAGE(I$62:I$81)</f>
        <v>5.2300000000000022</v>
      </c>
      <c r="T85" s="25"/>
      <c r="U85" s="24">
        <f>AVERAGE(I$82:I$101)</f>
        <v>12.090000000000002</v>
      </c>
      <c r="V85" s="25"/>
      <c r="W85" s="24">
        <f>AVERAGE(I$102:I$121)</f>
        <v>18.959999999999997</v>
      </c>
      <c r="X85" s="25"/>
    </row>
    <row r="86" spans="1:24" x14ac:dyDescent="0.25">
      <c r="A86" s="51"/>
      <c r="B86" s="41"/>
      <c r="C86" t="s">
        <v>336</v>
      </c>
      <c r="D86" t="s">
        <v>181</v>
      </c>
      <c r="E86" s="3">
        <f t="shared" si="2"/>
        <v>4</v>
      </c>
      <c r="F86" s="2" t="s">
        <v>1498</v>
      </c>
      <c r="G86" s="3">
        <v>4</v>
      </c>
      <c r="H86" s="2">
        <v>20.59</v>
      </c>
      <c r="I86" s="2">
        <v>12.09</v>
      </c>
      <c r="J86" s="2">
        <v>9.09</v>
      </c>
      <c r="K86" s="3">
        <v>4</v>
      </c>
      <c r="L86" s="2">
        <v>12</v>
      </c>
      <c r="M86" s="2">
        <v>3.5</v>
      </c>
      <c r="N86" s="53">
        <v>0.5</v>
      </c>
      <c r="O86" s="19">
        <f t="shared" si="3"/>
        <v>1</v>
      </c>
      <c r="Q86" s="29"/>
      <c r="R86" s="1" t="s">
        <v>1466</v>
      </c>
      <c r="S86" s="24">
        <f>AVERAGE(J$62:J$81)</f>
        <v>2.2299999999999995</v>
      </c>
      <c r="T86" s="25"/>
      <c r="U86" s="24">
        <f>AVERAGE(J$82:J$101)</f>
        <v>9.0900000000000016</v>
      </c>
      <c r="V86" s="25"/>
      <c r="W86" s="24">
        <f>AVERAGE(J$102:J$121)</f>
        <v>15.960000000000003</v>
      </c>
      <c r="X86" s="25"/>
    </row>
    <row r="87" spans="1:24" ht="15" customHeight="1" x14ac:dyDescent="0.25">
      <c r="A87" s="51"/>
      <c r="B87" s="41"/>
      <c r="C87" t="s">
        <v>337</v>
      </c>
      <c r="D87" t="s">
        <v>181</v>
      </c>
      <c r="E87" s="3">
        <f t="shared" si="2"/>
        <v>4</v>
      </c>
      <c r="F87" s="2" t="s">
        <v>1498</v>
      </c>
      <c r="G87" s="3">
        <v>4</v>
      </c>
      <c r="H87" s="2">
        <v>20.59</v>
      </c>
      <c r="I87" s="2">
        <v>12.09</v>
      </c>
      <c r="J87" s="2">
        <v>9.09</v>
      </c>
      <c r="K87" s="3">
        <v>4</v>
      </c>
      <c r="L87" s="2">
        <v>12</v>
      </c>
      <c r="M87" s="2">
        <v>3.5</v>
      </c>
      <c r="N87" s="53">
        <v>0.5</v>
      </c>
      <c r="O87" s="19">
        <f t="shared" si="3"/>
        <v>1</v>
      </c>
      <c r="Q87" s="28" t="s">
        <v>2</v>
      </c>
      <c r="R87" s="1" t="s">
        <v>1493</v>
      </c>
      <c r="S87" s="24">
        <v>8</v>
      </c>
      <c r="T87" s="25"/>
      <c r="U87" s="24">
        <v>11.946999999999999</v>
      </c>
      <c r="V87" s="25"/>
      <c r="W87" s="24">
        <v>15.972</v>
      </c>
      <c r="X87" s="25"/>
    </row>
    <row r="88" spans="1:24" x14ac:dyDescent="0.25">
      <c r="A88" s="51"/>
      <c r="B88" s="41"/>
      <c r="C88" t="s">
        <v>338</v>
      </c>
      <c r="D88" t="s">
        <v>181</v>
      </c>
      <c r="E88" s="3">
        <f t="shared" si="2"/>
        <v>4</v>
      </c>
      <c r="F88" s="2" t="s">
        <v>1498</v>
      </c>
      <c r="G88" s="3">
        <v>4</v>
      </c>
      <c r="H88" s="2">
        <v>20.59</v>
      </c>
      <c r="I88" s="2">
        <v>12.09</v>
      </c>
      <c r="J88" s="2">
        <v>9.09</v>
      </c>
      <c r="K88" s="3">
        <v>4</v>
      </c>
      <c r="L88" s="2">
        <v>12</v>
      </c>
      <c r="M88" s="2">
        <v>3.5</v>
      </c>
      <c r="N88" s="53">
        <v>0.5</v>
      </c>
      <c r="O88" s="19">
        <f t="shared" si="3"/>
        <v>1</v>
      </c>
      <c r="Q88" s="28"/>
      <c r="R88" s="1" t="s">
        <v>1467</v>
      </c>
      <c r="S88" s="24">
        <v>-0.5</v>
      </c>
      <c r="T88" s="25"/>
      <c r="U88" s="24">
        <v>3.4470000000000001</v>
      </c>
      <c r="V88" s="25"/>
      <c r="W88" s="24">
        <v>7.4719999999999995</v>
      </c>
      <c r="X88" s="25"/>
    </row>
    <row r="89" spans="1:24" x14ac:dyDescent="0.25">
      <c r="A89" s="51"/>
      <c r="B89" s="41"/>
      <c r="C89" t="s">
        <v>339</v>
      </c>
      <c r="D89" t="s">
        <v>181</v>
      </c>
      <c r="E89" s="3">
        <f t="shared" si="2"/>
        <v>4</v>
      </c>
      <c r="F89" s="2" t="s">
        <v>1498</v>
      </c>
      <c r="G89" s="3">
        <v>4</v>
      </c>
      <c r="H89" s="2">
        <v>20.59</v>
      </c>
      <c r="I89" s="2">
        <v>12.09</v>
      </c>
      <c r="J89" s="2">
        <v>9.09</v>
      </c>
      <c r="K89" s="3">
        <v>4</v>
      </c>
      <c r="L89" s="2">
        <v>12</v>
      </c>
      <c r="M89" s="2">
        <v>3.5</v>
      </c>
      <c r="N89" s="53">
        <v>0.5</v>
      </c>
      <c r="O89" s="19">
        <f t="shared" si="3"/>
        <v>1</v>
      </c>
      <c r="Q89" s="28"/>
      <c r="R89" s="1" t="s">
        <v>1468</v>
      </c>
      <c r="S89" s="24">
        <v>-3.5</v>
      </c>
      <c r="T89" s="25"/>
      <c r="U89" s="24">
        <v>0.44699999999999995</v>
      </c>
      <c r="V89" s="25"/>
      <c r="W89" s="24">
        <v>4.4719999999999995</v>
      </c>
      <c r="X89" s="25"/>
    </row>
    <row r="90" spans="1:24" x14ac:dyDescent="0.25">
      <c r="A90" s="51"/>
      <c r="B90" s="41"/>
      <c r="C90" t="s">
        <v>340</v>
      </c>
      <c r="D90" t="s">
        <v>181</v>
      </c>
      <c r="E90" s="3">
        <f t="shared" si="2"/>
        <v>4</v>
      </c>
      <c r="F90" s="2" t="s">
        <v>1498</v>
      </c>
      <c r="G90" s="3">
        <v>4</v>
      </c>
      <c r="H90" s="2">
        <v>20.59</v>
      </c>
      <c r="I90" s="2">
        <v>12.09</v>
      </c>
      <c r="J90" s="2">
        <v>9.09</v>
      </c>
      <c r="K90" s="3">
        <v>4</v>
      </c>
      <c r="L90" s="2">
        <v>12</v>
      </c>
      <c r="M90" s="2">
        <v>3.5</v>
      </c>
      <c r="N90" s="53">
        <v>0.5</v>
      </c>
      <c r="O90" s="19">
        <f t="shared" si="3"/>
        <v>1</v>
      </c>
      <c r="Q90" s="28"/>
      <c r="R90" s="1" t="s">
        <v>1464</v>
      </c>
      <c r="S90" s="24">
        <f>AVERAGE(H$122:H$141)</f>
        <v>14.864999999999995</v>
      </c>
      <c r="T90" s="25"/>
      <c r="U90" s="24">
        <f>AVERAGE(H$142:H$161)</f>
        <v>22.29999999999999</v>
      </c>
      <c r="V90" s="25"/>
      <c r="W90" s="24">
        <f>AVERAGE(H$162:H$181)</f>
        <v>29.735000000000003</v>
      </c>
      <c r="X90" s="25"/>
    </row>
    <row r="91" spans="1:24" x14ac:dyDescent="0.25">
      <c r="A91" s="51"/>
      <c r="B91" s="41"/>
      <c r="C91" t="s">
        <v>341</v>
      </c>
      <c r="D91" t="s">
        <v>181</v>
      </c>
      <c r="E91" s="3">
        <f t="shared" si="2"/>
        <v>4</v>
      </c>
      <c r="F91" s="2" t="s">
        <v>1498</v>
      </c>
      <c r="G91" s="3">
        <v>4</v>
      </c>
      <c r="H91" s="2">
        <v>20.59</v>
      </c>
      <c r="I91" s="2">
        <v>12.09</v>
      </c>
      <c r="J91" s="2">
        <v>9.09</v>
      </c>
      <c r="K91" s="3">
        <v>4</v>
      </c>
      <c r="L91" s="2">
        <v>12</v>
      </c>
      <c r="M91" s="2">
        <v>3.5</v>
      </c>
      <c r="N91" s="53">
        <v>0.5</v>
      </c>
      <c r="O91" s="19">
        <f t="shared" si="3"/>
        <v>1</v>
      </c>
      <c r="Q91" s="28"/>
      <c r="R91" s="1" t="s">
        <v>1465</v>
      </c>
      <c r="S91" s="24">
        <f>AVERAGE(I$122:I$141)</f>
        <v>6.3700000000000028</v>
      </c>
      <c r="T91" s="25"/>
      <c r="U91" s="24">
        <f>AVERAGE(I$142:I$161)</f>
        <v>13.8</v>
      </c>
      <c r="V91" s="25"/>
      <c r="W91" s="24">
        <f>AVERAGE(I$162:I$181)</f>
        <v>21.235000000000007</v>
      </c>
      <c r="X91" s="25"/>
    </row>
    <row r="92" spans="1:24" x14ac:dyDescent="0.25">
      <c r="A92" s="51"/>
      <c r="B92" s="41"/>
      <c r="C92" t="s">
        <v>342</v>
      </c>
      <c r="D92" t="s">
        <v>181</v>
      </c>
      <c r="E92" s="3">
        <f t="shared" si="2"/>
        <v>4</v>
      </c>
      <c r="F92" s="2" t="s">
        <v>1498</v>
      </c>
      <c r="G92" s="3">
        <v>4</v>
      </c>
      <c r="H92" s="2">
        <v>20.59</v>
      </c>
      <c r="I92" s="2">
        <v>12.09</v>
      </c>
      <c r="J92" s="2">
        <v>9.09</v>
      </c>
      <c r="K92" s="3">
        <v>4</v>
      </c>
      <c r="L92" s="2">
        <v>12</v>
      </c>
      <c r="M92" s="2">
        <v>3.5</v>
      </c>
      <c r="N92" s="53">
        <v>0.5</v>
      </c>
      <c r="O92" s="19">
        <f t="shared" si="3"/>
        <v>1</v>
      </c>
      <c r="Q92" s="28"/>
      <c r="R92" s="1" t="s">
        <v>1466</v>
      </c>
      <c r="S92" s="24">
        <f>AVERAGE(J$122:J$141)</f>
        <v>3.3699999999999997</v>
      </c>
      <c r="T92" s="25"/>
      <c r="U92" s="24">
        <f>AVERAGE(J$142:J$161)</f>
        <v>10.8</v>
      </c>
      <c r="V92" s="25"/>
      <c r="W92" s="24">
        <f>AVERAGE(J$162:J$181)</f>
        <v>18.235000000000007</v>
      </c>
      <c r="X92" s="25"/>
    </row>
    <row r="93" spans="1:24" ht="15" customHeight="1" x14ac:dyDescent="0.25">
      <c r="A93" s="51"/>
      <c r="B93" s="41"/>
      <c r="C93" t="s">
        <v>343</v>
      </c>
      <c r="D93" t="s">
        <v>181</v>
      </c>
      <c r="E93" s="3">
        <f t="shared" si="2"/>
        <v>4</v>
      </c>
      <c r="F93" s="2" t="s">
        <v>1498</v>
      </c>
      <c r="G93" s="3">
        <v>4</v>
      </c>
      <c r="H93" s="2">
        <v>20.59</v>
      </c>
      <c r="I93" s="2">
        <v>12.09</v>
      </c>
      <c r="J93" s="2">
        <v>9.09</v>
      </c>
      <c r="K93" s="3">
        <v>4</v>
      </c>
      <c r="L93" s="2">
        <v>12</v>
      </c>
      <c r="M93" s="2">
        <v>3.5</v>
      </c>
      <c r="N93" s="53">
        <v>0.5</v>
      </c>
      <c r="O93" s="19">
        <f t="shared" si="3"/>
        <v>1</v>
      </c>
      <c r="Q93" s="27" t="s">
        <v>1491</v>
      </c>
      <c r="R93" s="1" t="s">
        <v>1493</v>
      </c>
      <c r="S93" s="24">
        <v>7.9515000000000002</v>
      </c>
      <c r="T93" s="25"/>
      <c r="U93" s="24">
        <v>12</v>
      </c>
      <c r="V93" s="25"/>
      <c r="W93" s="24">
        <v>16</v>
      </c>
      <c r="X93" s="25"/>
    </row>
    <row r="94" spans="1:24" x14ac:dyDescent="0.25">
      <c r="A94" s="51"/>
      <c r="B94" s="41"/>
      <c r="C94" t="s">
        <v>344</v>
      </c>
      <c r="D94" t="s">
        <v>181</v>
      </c>
      <c r="E94" s="3">
        <f t="shared" si="2"/>
        <v>4</v>
      </c>
      <c r="F94" s="2" t="s">
        <v>1498</v>
      </c>
      <c r="G94" s="3">
        <v>4</v>
      </c>
      <c r="H94" s="2">
        <v>20.59</v>
      </c>
      <c r="I94" s="2">
        <v>12.09</v>
      </c>
      <c r="J94" s="2">
        <v>9.09</v>
      </c>
      <c r="K94" s="3">
        <v>4</v>
      </c>
      <c r="L94" s="2">
        <v>12</v>
      </c>
      <c r="M94" s="2">
        <v>3.5</v>
      </c>
      <c r="N94" s="53">
        <v>0.5</v>
      </c>
      <c r="O94" s="19">
        <f t="shared" si="3"/>
        <v>1</v>
      </c>
      <c r="Q94" s="27"/>
      <c r="R94" s="1" t="s">
        <v>1467</v>
      </c>
      <c r="S94" s="24">
        <v>-0.54849999999999999</v>
      </c>
      <c r="T94" s="25"/>
      <c r="U94" s="24">
        <v>3.5</v>
      </c>
      <c r="V94" s="25"/>
      <c r="W94" s="24">
        <v>7.5</v>
      </c>
      <c r="X94" s="25"/>
    </row>
    <row r="95" spans="1:24" x14ac:dyDescent="0.25">
      <c r="A95" s="51"/>
      <c r="B95" s="41"/>
      <c r="C95" t="s">
        <v>345</v>
      </c>
      <c r="D95" t="s">
        <v>181</v>
      </c>
      <c r="E95" s="3">
        <f t="shared" si="2"/>
        <v>4</v>
      </c>
      <c r="F95" s="2" t="s">
        <v>1498</v>
      </c>
      <c r="G95" s="3">
        <v>4</v>
      </c>
      <c r="H95" s="2">
        <v>20.59</v>
      </c>
      <c r="I95" s="2">
        <v>12.09</v>
      </c>
      <c r="J95" s="2">
        <v>9.09</v>
      </c>
      <c r="K95" s="3">
        <v>4</v>
      </c>
      <c r="L95" s="2">
        <v>12</v>
      </c>
      <c r="M95" s="2">
        <v>3.5</v>
      </c>
      <c r="N95" s="53">
        <v>0.5</v>
      </c>
      <c r="O95" s="19">
        <f t="shared" si="3"/>
        <v>1</v>
      </c>
      <c r="Q95" s="27"/>
      <c r="R95" s="1" t="s">
        <v>1468</v>
      </c>
      <c r="S95" s="24">
        <v>-3.5484999999999998</v>
      </c>
      <c r="T95" s="25"/>
      <c r="U95" s="24">
        <v>0.5</v>
      </c>
      <c r="V95" s="25"/>
      <c r="W95" s="24">
        <v>4.5</v>
      </c>
      <c r="X95" s="25"/>
    </row>
    <row r="96" spans="1:24" x14ac:dyDescent="0.25">
      <c r="A96" s="51"/>
      <c r="B96" s="41"/>
      <c r="C96" t="s">
        <v>346</v>
      </c>
      <c r="D96" t="s">
        <v>181</v>
      </c>
      <c r="E96" s="3">
        <f t="shared" si="2"/>
        <v>4</v>
      </c>
      <c r="F96" s="2" t="s">
        <v>1498</v>
      </c>
      <c r="G96" s="3">
        <v>4</v>
      </c>
      <c r="H96" s="2">
        <v>20.59</v>
      </c>
      <c r="I96" s="2">
        <v>12.09</v>
      </c>
      <c r="J96" s="2">
        <v>9.09</v>
      </c>
      <c r="K96" s="3">
        <v>4</v>
      </c>
      <c r="L96" s="2">
        <v>12</v>
      </c>
      <c r="M96" s="2">
        <v>3.5</v>
      </c>
      <c r="N96" s="53">
        <v>0.5</v>
      </c>
      <c r="O96" s="19">
        <f t="shared" si="3"/>
        <v>1</v>
      </c>
      <c r="Q96" s="27"/>
      <c r="R96" s="1" t="s">
        <v>1464</v>
      </c>
      <c r="S96" s="24">
        <f>AVERAGE(H$182:H$201)</f>
        <v>15.789999999999997</v>
      </c>
      <c r="T96" s="25"/>
      <c r="U96" s="24">
        <f>AVERAGE(H$202:H$221)</f>
        <v>23.680000000000003</v>
      </c>
      <c r="V96" s="25"/>
      <c r="W96" s="24">
        <f>AVERAGE(H$222:H$241)</f>
        <v>31.570000000000004</v>
      </c>
      <c r="X96" s="25"/>
    </row>
    <row r="97" spans="1:24" x14ac:dyDescent="0.25">
      <c r="A97" s="51"/>
      <c r="B97" s="41"/>
      <c r="C97" t="s">
        <v>347</v>
      </c>
      <c r="D97" t="s">
        <v>181</v>
      </c>
      <c r="E97" s="3">
        <f t="shared" si="2"/>
        <v>4</v>
      </c>
      <c r="F97" s="2" t="s">
        <v>1498</v>
      </c>
      <c r="G97" s="3">
        <v>4</v>
      </c>
      <c r="H97" s="2">
        <v>20.59</v>
      </c>
      <c r="I97" s="2">
        <v>12.09</v>
      </c>
      <c r="J97" s="2">
        <v>9.09</v>
      </c>
      <c r="K97" s="3">
        <v>4</v>
      </c>
      <c r="L97" s="2">
        <v>12</v>
      </c>
      <c r="M97" s="2">
        <v>3.5</v>
      </c>
      <c r="N97" s="53">
        <v>0.5</v>
      </c>
      <c r="O97" s="19">
        <f t="shared" si="3"/>
        <v>1</v>
      </c>
      <c r="Q97" s="27"/>
      <c r="R97" s="1" t="s">
        <v>1465</v>
      </c>
      <c r="S97" s="24">
        <f>AVERAGE(I$182:I$201)</f>
        <v>7.2900000000000018</v>
      </c>
      <c r="T97" s="25"/>
      <c r="U97" s="24">
        <f>AVERAGE(I$202:I$221)</f>
        <v>15.180000000000003</v>
      </c>
      <c r="V97" s="25"/>
      <c r="W97" s="24">
        <f>AVERAGE(I$222:I$241)</f>
        <v>23.069999999999997</v>
      </c>
      <c r="X97" s="25"/>
    </row>
    <row r="98" spans="1:24" x14ac:dyDescent="0.25">
      <c r="A98" s="51"/>
      <c r="B98" s="41"/>
      <c r="C98" t="s">
        <v>348</v>
      </c>
      <c r="D98" t="s">
        <v>181</v>
      </c>
      <c r="E98" s="3">
        <f t="shared" si="2"/>
        <v>4</v>
      </c>
      <c r="F98" s="2" t="s">
        <v>1498</v>
      </c>
      <c r="G98" s="3">
        <v>4</v>
      </c>
      <c r="H98" s="2">
        <v>20.59</v>
      </c>
      <c r="I98" s="2">
        <v>12.09</v>
      </c>
      <c r="J98" s="2">
        <v>9.09</v>
      </c>
      <c r="K98" s="3">
        <v>4</v>
      </c>
      <c r="L98" s="2">
        <v>12</v>
      </c>
      <c r="M98" s="2">
        <v>3.5</v>
      </c>
      <c r="N98" s="53">
        <v>0.5</v>
      </c>
      <c r="O98" s="19">
        <f t="shared" si="3"/>
        <v>1</v>
      </c>
      <c r="Q98" s="27"/>
      <c r="R98" s="1" t="s">
        <v>1466</v>
      </c>
      <c r="S98" s="24">
        <f>AVERAGE(J$182:J$201)</f>
        <v>4.2900000000000009</v>
      </c>
      <c r="T98" s="25"/>
      <c r="U98" s="24">
        <f>AVERAGE(J$202:J$221)</f>
        <v>12.180000000000003</v>
      </c>
      <c r="V98" s="25"/>
      <c r="W98" s="24">
        <f>AVERAGE(J$222:J$241)</f>
        <v>20.069999999999997</v>
      </c>
      <c r="X98" s="25"/>
    </row>
    <row r="99" spans="1:24" ht="15" customHeight="1" x14ac:dyDescent="0.25">
      <c r="A99" s="51"/>
      <c r="B99" s="41"/>
      <c r="C99" t="s">
        <v>349</v>
      </c>
      <c r="D99" t="s">
        <v>181</v>
      </c>
      <c r="E99" s="3">
        <f t="shared" si="2"/>
        <v>4</v>
      </c>
      <c r="F99" s="2" t="s">
        <v>1498</v>
      </c>
      <c r="G99" s="3">
        <v>4</v>
      </c>
      <c r="H99" s="2">
        <v>20.59</v>
      </c>
      <c r="I99" s="2">
        <v>12.09</v>
      </c>
      <c r="J99" s="2">
        <v>9.09</v>
      </c>
      <c r="K99" s="3">
        <v>4</v>
      </c>
      <c r="L99" s="2">
        <v>12</v>
      </c>
      <c r="M99" s="2">
        <v>3.5</v>
      </c>
      <c r="N99" s="53">
        <v>0.5</v>
      </c>
      <c r="O99" s="19">
        <f t="shared" si="3"/>
        <v>1</v>
      </c>
    </row>
    <row r="100" spans="1:24" x14ac:dyDescent="0.25">
      <c r="A100" s="51"/>
      <c r="B100" s="41"/>
      <c r="C100" t="s">
        <v>350</v>
      </c>
      <c r="D100" t="s">
        <v>181</v>
      </c>
      <c r="E100" s="3">
        <f t="shared" si="2"/>
        <v>4</v>
      </c>
      <c r="F100" s="2" t="s">
        <v>1498</v>
      </c>
      <c r="G100" s="3">
        <v>4</v>
      </c>
      <c r="H100" s="2">
        <v>20.59</v>
      </c>
      <c r="I100" s="2">
        <v>12.09</v>
      </c>
      <c r="J100" s="2">
        <v>9.09</v>
      </c>
      <c r="K100" s="3">
        <v>4</v>
      </c>
      <c r="L100" s="2">
        <v>12</v>
      </c>
      <c r="M100" s="2">
        <v>3.5</v>
      </c>
      <c r="N100" s="53">
        <v>0.5</v>
      </c>
      <c r="O100" s="19">
        <f t="shared" si="3"/>
        <v>1</v>
      </c>
      <c r="R100" s="1"/>
      <c r="S100" s="30" t="s">
        <v>1460</v>
      </c>
      <c r="T100" s="30"/>
      <c r="U100" s="30" t="s">
        <v>1461</v>
      </c>
      <c r="V100" s="30"/>
      <c r="W100" s="30" t="s">
        <v>1462</v>
      </c>
      <c r="X100" s="30"/>
    </row>
    <row r="101" spans="1:24" x14ac:dyDescent="0.25">
      <c r="A101" s="51"/>
      <c r="B101" s="42"/>
      <c r="C101" s="10" t="s">
        <v>351</v>
      </c>
      <c r="D101" s="10" t="s">
        <v>181</v>
      </c>
      <c r="E101" s="11">
        <f t="shared" si="2"/>
        <v>4</v>
      </c>
      <c r="F101" s="12" t="s">
        <v>1498</v>
      </c>
      <c r="G101" s="11">
        <v>4</v>
      </c>
      <c r="H101" s="12">
        <v>20.59</v>
      </c>
      <c r="I101" s="12">
        <v>12.09</v>
      </c>
      <c r="J101" s="12">
        <v>9.09</v>
      </c>
      <c r="K101" s="11">
        <v>4</v>
      </c>
      <c r="L101" s="12">
        <v>12</v>
      </c>
      <c r="M101" s="12">
        <v>3.5</v>
      </c>
      <c r="N101" s="12">
        <v>0.5</v>
      </c>
      <c r="O101" s="20">
        <f t="shared" si="3"/>
        <v>1</v>
      </c>
      <c r="R101" s="1" t="s">
        <v>0</v>
      </c>
      <c r="S101" s="24">
        <f>AVERAGE(O$2:O$21)</f>
        <v>1</v>
      </c>
      <c r="T101" s="25"/>
      <c r="U101" s="24">
        <f>AVERAGE(O$22:O$41)</f>
        <v>1</v>
      </c>
      <c r="V101" s="25"/>
      <c r="W101" s="24">
        <f>AVERAGE(O$42:O$61)</f>
        <v>1</v>
      </c>
      <c r="X101" s="25"/>
    </row>
    <row r="102" spans="1:24" x14ac:dyDescent="0.25">
      <c r="A102" s="51"/>
      <c r="B102" s="40" t="s">
        <v>5</v>
      </c>
      <c r="C102" s="7" t="s">
        <v>352</v>
      </c>
      <c r="D102" s="7" t="s">
        <v>181</v>
      </c>
      <c r="E102" s="8">
        <f t="shared" si="2"/>
        <v>4</v>
      </c>
      <c r="F102" s="9" t="s">
        <v>1499</v>
      </c>
      <c r="G102" s="8">
        <v>4</v>
      </c>
      <c r="H102" s="9">
        <v>27.46</v>
      </c>
      <c r="I102" s="9">
        <v>18.96</v>
      </c>
      <c r="J102" s="9">
        <v>15.96</v>
      </c>
      <c r="K102" s="8">
        <v>4</v>
      </c>
      <c r="L102" s="9">
        <v>16</v>
      </c>
      <c r="M102" s="9">
        <v>7.5</v>
      </c>
      <c r="N102" s="53">
        <v>4.5</v>
      </c>
      <c r="O102" s="19">
        <f t="shared" si="3"/>
        <v>1</v>
      </c>
      <c r="R102" s="1" t="s">
        <v>1</v>
      </c>
      <c r="S102" s="24">
        <f>AVERAGE(O$62:O$81)</f>
        <v>1</v>
      </c>
      <c r="T102" s="25"/>
      <c r="U102" s="24">
        <f>AVERAGE(O$82:O$101)</f>
        <v>1</v>
      </c>
      <c r="V102" s="25"/>
      <c r="W102" s="24">
        <f>AVERAGE(O$102:O$121)</f>
        <v>1</v>
      </c>
      <c r="X102" s="25"/>
    </row>
    <row r="103" spans="1:24" x14ac:dyDescent="0.25">
      <c r="A103" s="51"/>
      <c r="B103" s="41"/>
      <c r="C103" t="s">
        <v>353</v>
      </c>
      <c r="D103" t="s">
        <v>181</v>
      </c>
      <c r="E103" s="3">
        <f t="shared" si="2"/>
        <v>4</v>
      </c>
      <c r="F103" s="2" t="s">
        <v>1499</v>
      </c>
      <c r="G103" s="3">
        <v>4</v>
      </c>
      <c r="H103" s="2">
        <v>27.46</v>
      </c>
      <c r="I103" s="2">
        <v>18.96</v>
      </c>
      <c r="J103" s="2">
        <v>15.96</v>
      </c>
      <c r="K103" s="3">
        <v>4</v>
      </c>
      <c r="L103" s="2">
        <v>16</v>
      </c>
      <c r="M103" s="2">
        <v>7.5</v>
      </c>
      <c r="N103" s="53">
        <v>4.5</v>
      </c>
      <c r="O103" s="19">
        <f t="shared" si="3"/>
        <v>1</v>
      </c>
      <c r="R103" s="1" t="s">
        <v>2</v>
      </c>
      <c r="S103" s="24">
        <f>AVERAGE(O$122:O$141)</f>
        <v>1</v>
      </c>
      <c r="T103" s="25"/>
      <c r="U103" s="24">
        <f>AVERAGE(O$142:O$161)</f>
        <v>1</v>
      </c>
      <c r="V103" s="25"/>
      <c r="W103" s="24">
        <f>AVERAGE(O$162:O$181)</f>
        <v>1</v>
      </c>
      <c r="X103" s="25"/>
    </row>
    <row r="104" spans="1:24" x14ac:dyDescent="0.25">
      <c r="A104" s="51"/>
      <c r="B104" s="41"/>
      <c r="C104" t="s">
        <v>354</v>
      </c>
      <c r="D104" t="s">
        <v>181</v>
      </c>
      <c r="E104" s="3">
        <f t="shared" si="2"/>
        <v>4</v>
      </c>
      <c r="F104" s="2" t="s">
        <v>1499</v>
      </c>
      <c r="G104" s="3">
        <v>4</v>
      </c>
      <c r="H104" s="2">
        <v>27.46</v>
      </c>
      <c r="I104" s="2">
        <v>18.96</v>
      </c>
      <c r="J104" s="2">
        <v>15.96</v>
      </c>
      <c r="K104" s="3">
        <v>4</v>
      </c>
      <c r="L104" s="2">
        <v>16</v>
      </c>
      <c r="M104" s="2">
        <v>7.5</v>
      </c>
      <c r="N104" s="53">
        <v>4.5</v>
      </c>
      <c r="O104" s="19">
        <f t="shared" si="3"/>
        <v>1</v>
      </c>
      <c r="R104" s="1" t="s">
        <v>1491</v>
      </c>
      <c r="S104" s="24">
        <f>AVERAGE(O$182:O$201)</f>
        <v>1</v>
      </c>
      <c r="T104" s="25"/>
      <c r="U104" s="24">
        <f>AVERAGE(O$202:O$221)</f>
        <v>1</v>
      </c>
      <c r="V104" s="25"/>
      <c r="W104" s="24">
        <f>AVERAGE(O$222:O$241)</f>
        <v>1</v>
      </c>
      <c r="X104" s="25"/>
    </row>
    <row r="105" spans="1:24" ht="15" customHeight="1" x14ac:dyDescent="0.25">
      <c r="A105" s="51"/>
      <c r="B105" s="41"/>
      <c r="C105" t="s">
        <v>355</v>
      </c>
      <c r="D105" t="s">
        <v>181</v>
      </c>
      <c r="E105" s="3">
        <f t="shared" si="2"/>
        <v>4</v>
      </c>
      <c r="F105" s="2" t="s">
        <v>1499</v>
      </c>
      <c r="G105" s="3">
        <v>4</v>
      </c>
      <c r="H105" s="2">
        <v>27.46</v>
      </c>
      <c r="I105" s="2">
        <v>18.96</v>
      </c>
      <c r="J105" s="2">
        <v>15.96</v>
      </c>
      <c r="K105" s="3">
        <v>4</v>
      </c>
      <c r="L105" s="2">
        <v>16</v>
      </c>
      <c r="M105" s="2">
        <v>7.5</v>
      </c>
      <c r="N105" s="53">
        <v>4.5</v>
      </c>
      <c r="O105" s="19">
        <f t="shared" si="3"/>
        <v>1</v>
      </c>
    </row>
    <row r="106" spans="1:24" x14ac:dyDescent="0.25">
      <c r="A106" s="51"/>
      <c r="B106" s="41"/>
      <c r="C106" t="s">
        <v>356</v>
      </c>
      <c r="D106" t="s">
        <v>181</v>
      </c>
      <c r="E106" s="3">
        <f t="shared" si="2"/>
        <v>4</v>
      </c>
      <c r="F106" s="2" t="s">
        <v>1499</v>
      </c>
      <c r="G106" s="3">
        <v>4</v>
      </c>
      <c r="H106" s="2">
        <v>27.46</v>
      </c>
      <c r="I106" s="2">
        <v>18.96</v>
      </c>
      <c r="J106" s="2">
        <v>15.96</v>
      </c>
      <c r="K106" s="3">
        <v>4</v>
      </c>
      <c r="L106" s="2">
        <v>15.72</v>
      </c>
      <c r="M106" s="2">
        <v>7.22</v>
      </c>
      <c r="N106" s="53">
        <v>4.22</v>
      </c>
      <c r="O106" s="19">
        <f t="shared" si="3"/>
        <v>1</v>
      </c>
    </row>
    <row r="107" spans="1:24" x14ac:dyDescent="0.25">
      <c r="A107" s="51"/>
      <c r="B107" s="41"/>
      <c r="C107" t="s">
        <v>357</v>
      </c>
      <c r="D107" t="s">
        <v>181</v>
      </c>
      <c r="E107" s="3">
        <f t="shared" si="2"/>
        <v>4</v>
      </c>
      <c r="F107" s="2" t="s">
        <v>1499</v>
      </c>
      <c r="G107" s="3">
        <v>4</v>
      </c>
      <c r="H107" s="2">
        <v>27.46</v>
      </c>
      <c r="I107" s="2">
        <v>18.96</v>
      </c>
      <c r="J107" s="2">
        <v>15.96</v>
      </c>
      <c r="K107" s="3">
        <v>4</v>
      </c>
      <c r="L107" s="2">
        <v>16</v>
      </c>
      <c r="M107" s="2">
        <v>7.5</v>
      </c>
      <c r="N107" s="53">
        <v>4.5</v>
      </c>
      <c r="O107" s="19">
        <f t="shared" si="3"/>
        <v>1</v>
      </c>
    </row>
    <row r="108" spans="1:24" x14ac:dyDescent="0.25">
      <c r="A108" s="51"/>
      <c r="B108" s="41"/>
      <c r="C108" t="s">
        <v>358</v>
      </c>
      <c r="D108" t="s">
        <v>181</v>
      </c>
      <c r="E108" s="3">
        <f t="shared" si="2"/>
        <v>4</v>
      </c>
      <c r="F108" s="2" t="s">
        <v>1499</v>
      </c>
      <c r="G108" s="3">
        <v>4</v>
      </c>
      <c r="H108" s="2">
        <v>27.46</v>
      </c>
      <c r="I108" s="2">
        <v>18.96</v>
      </c>
      <c r="J108" s="2">
        <v>15.96</v>
      </c>
      <c r="K108" s="3">
        <v>4</v>
      </c>
      <c r="L108" s="2">
        <v>16</v>
      </c>
      <c r="M108" s="2">
        <v>7.5</v>
      </c>
      <c r="N108" s="53">
        <v>4.5</v>
      </c>
      <c r="O108" s="19">
        <f t="shared" si="3"/>
        <v>1</v>
      </c>
    </row>
    <row r="109" spans="1:24" x14ac:dyDescent="0.25">
      <c r="A109" s="51"/>
      <c r="B109" s="41"/>
      <c r="C109" t="s">
        <v>359</v>
      </c>
      <c r="D109" t="s">
        <v>181</v>
      </c>
      <c r="E109" s="3">
        <f t="shared" si="2"/>
        <v>4</v>
      </c>
      <c r="F109" s="2" t="s">
        <v>1499</v>
      </c>
      <c r="G109" s="3">
        <v>4</v>
      </c>
      <c r="H109" s="2">
        <v>27.46</v>
      </c>
      <c r="I109" s="2">
        <v>18.96</v>
      </c>
      <c r="J109" s="2">
        <v>15.96</v>
      </c>
      <c r="K109" s="3">
        <v>4</v>
      </c>
      <c r="L109" s="2">
        <v>16</v>
      </c>
      <c r="M109" s="2">
        <v>7.5</v>
      </c>
      <c r="N109" s="53">
        <v>4.5</v>
      </c>
      <c r="O109" s="19">
        <f t="shared" si="3"/>
        <v>1</v>
      </c>
    </row>
    <row r="110" spans="1:24" x14ac:dyDescent="0.25">
      <c r="A110" s="51"/>
      <c r="B110" s="41"/>
      <c r="C110" t="s">
        <v>360</v>
      </c>
      <c r="D110" t="s">
        <v>181</v>
      </c>
      <c r="E110" s="3">
        <f t="shared" si="2"/>
        <v>4</v>
      </c>
      <c r="F110" s="2" t="s">
        <v>1499</v>
      </c>
      <c r="G110" s="3">
        <v>4</v>
      </c>
      <c r="H110" s="2">
        <v>27.46</v>
      </c>
      <c r="I110" s="2">
        <v>18.96</v>
      </c>
      <c r="J110" s="2">
        <v>15.96</v>
      </c>
      <c r="K110" s="3">
        <v>4</v>
      </c>
      <c r="L110" s="2">
        <v>16</v>
      </c>
      <c r="M110" s="2">
        <v>7.5</v>
      </c>
      <c r="N110" s="53">
        <v>4.5</v>
      </c>
      <c r="O110" s="19">
        <f t="shared" si="3"/>
        <v>1</v>
      </c>
    </row>
    <row r="111" spans="1:24" ht="15" customHeight="1" x14ac:dyDescent="0.25">
      <c r="A111" s="51"/>
      <c r="B111" s="41"/>
      <c r="C111" t="s">
        <v>361</v>
      </c>
      <c r="D111" t="s">
        <v>181</v>
      </c>
      <c r="E111" s="3">
        <f t="shared" si="2"/>
        <v>4</v>
      </c>
      <c r="F111" s="2" t="s">
        <v>1499</v>
      </c>
      <c r="G111" s="3">
        <v>4</v>
      </c>
      <c r="H111" s="2">
        <v>27.46</v>
      </c>
      <c r="I111" s="2">
        <v>18.96</v>
      </c>
      <c r="J111" s="2">
        <v>15.96</v>
      </c>
      <c r="K111" s="3">
        <v>4</v>
      </c>
      <c r="L111" s="2">
        <v>15.67</v>
      </c>
      <c r="M111" s="2">
        <v>7.17</v>
      </c>
      <c r="N111" s="53">
        <v>4.17</v>
      </c>
      <c r="O111" s="19">
        <f t="shared" si="3"/>
        <v>1</v>
      </c>
    </row>
    <row r="112" spans="1:24" x14ac:dyDescent="0.25">
      <c r="A112" s="51"/>
      <c r="B112" s="41"/>
      <c r="C112" t="s">
        <v>362</v>
      </c>
      <c r="D112" t="s">
        <v>181</v>
      </c>
      <c r="E112" s="3">
        <f t="shared" si="2"/>
        <v>4</v>
      </c>
      <c r="F112" s="2" t="s">
        <v>1499</v>
      </c>
      <c r="G112" s="3">
        <v>4</v>
      </c>
      <c r="H112" s="2">
        <v>27.46</v>
      </c>
      <c r="I112" s="2">
        <v>18.96</v>
      </c>
      <c r="J112" s="2">
        <v>15.96</v>
      </c>
      <c r="K112" s="3">
        <v>4</v>
      </c>
      <c r="L112" s="2">
        <v>16</v>
      </c>
      <c r="M112" s="2">
        <v>7.5</v>
      </c>
      <c r="N112" s="53">
        <v>4.5</v>
      </c>
      <c r="O112" s="19">
        <f t="shared" si="3"/>
        <v>1</v>
      </c>
    </row>
    <row r="113" spans="1:15" x14ac:dyDescent="0.25">
      <c r="A113" s="51"/>
      <c r="B113" s="41"/>
      <c r="C113" t="s">
        <v>363</v>
      </c>
      <c r="D113" t="s">
        <v>181</v>
      </c>
      <c r="E113" s="3">
        <f t="shared" si="2"/>
        <v>4</v>
      </c>
      <c r="F113" s="2" t="s">
        <v>1499</v>
      </c>
      <c r="G113" s="3">
        <v>4</v>
      </c>
      <c r="H113" s="2">
        <v>27.46</v>
      </c>
      <c r="I113" s="2">
        <v>18.96</v>
      </c>
      <c r="J113" s="2">
        <v>15.96</v>
      </c>
      <c r="K113" s="3">
        <v>4</v>
      </c>
      <c r="L113" s="2">
        <v>16</v>
      </c>
      <c r="M113" s="2">
        <v>7.5</v>
      </c>
      <c r="N113" s="53">
        <v>4.5</v>
      </c>
      <c r="O113" s="19">
        <f t="shared" si="3"/>
        <v>1</v>
      </c>
    </row>
    <row r="114" spans="1:15" x14ac:dyDescent="0.25">
      <c r="A114" s="51"/>
      <c r="B114" s="41"/>
      <c r="C114" t="s">
        <v>364</v>
      </c>
      <c r="D114" t="s">
        <v>181</v>
      </c>
      <c r="E114" s="3">
        <f t="shared" si="2"/>
        <v>4</v>
      </c>
      <c r="F114" s="2" t="s">
        <v>1499</v>
      </c>
      <c r="G114" s="3">
        <v>4</v>
      </c>
      <c r="H114" s="2">
        <v>27.46</v>
      </c>
      <c r="I114" s="2">
        <v>18.96</v>
      </c>
      <c r="J114" s="2">
        <v>15.96</v>
      </c>
      <c r="K114" s="3">
        <v>4</v>
      </c>
      <c r="L114" s="2">
        <v>16</v>
      </c>
      <c r="M114" s="2">
        <v>7.5</v>
      </c>
      <c r="N114" s="53">
        <v>4.5</v>
      </c>
      <c r="O114" s="19">
        <f t="shared" si="3"/>
        <v>1</v>
      </c>
    </row>
    <row r="115" spans="1:15" x14ac:dyDescent="0.25">
      <c r="A115" s="51"/>
      <c r="B115" s="41"/>
      <c r="C115" t="s">
        <v>365</v>
      </c>
      <c r="D115" t="s">
        <v>181</v>
      </c>
      <c r="E115" s="3">
        <f t="shared" si="2"/>
        <v>4</v>
      </c>
      <c r="F115" s="2" t="s">
        <v>1499</v>
      </c>
      <c r="G115" s="3">
        <v>4</v>
      </c>
      <c r="H115" s="2">
        <v>27.46</v>
      </c>
      <c r="I115" s="2">
        <v>18.96</v>
      </c>
      <c r="J115" s="2">
        <v>15.96</v>
      </c>
      <c r="K115" s="3">
        <v>4</v>
      </c>
      <c r="L115" s="2">
        <v>16</v>
      </c>
      <c r="M115" s="2">
        <v>7.5</v>
      </c>
      <c r="N115" s="53">
        <v>4.5</v>
      </c>
      <c r="O115" s="19">
        <f t="shared" si="3"/>
        <v>1</v>
      </c>
    </row>
    <row r="116" spans="1:15" x14ac:dyDescent="0.25">
      <c r="A116" s="51"/>
      <c r="B116" s="41"/>
      <c r="C116" t="s">
        <v>366</v>
      </c>
      <c r="D116" t="s">
        <v>181</v>
      </c>
      <c r="E116" s="3">
        <f t="shared" si="2"/>
        <v>4</v>
      </c>
      <c r="F116" s="2" t="s">
        <v>1499</v>
      </c>
      <c r="G116" s="3">
        <v>4</v>
      </c>
      <c r="H116" s="2">
        <v>27.46</v>
      </c>
      <c r="I116" s="2">
        <v>18.96</v>
      </c>
      <c r="J116" s="2">
        <v>15.96</v>
      </c>
      <c r="K116" s="3">
        <v>4</v>
      </c>
      <c r="L116" s="2">
        <v>15.97</v>
      </c>
      <c r="M116" s="2">
        <v>7.47</v>
      </c>
      <c r="N116" s="53">
        <v>4.47</v>
      </c>
      <c r="O116" s="19">
        <f t="shared" si="3"/>
        <v>1</v>
      </c>
    </row>
    <row r="117" spans="1:15" ht="15" customHeight="1" x14ac:dyDescent="0.25">
      <c r="A117" s="51"/>
      <c r="B117" s="41"/>
      <c r="C117" t="s">
        <v>367</v>
      </c>
      <c r="D117" t="s">
        <v>181</v>
      </c>
      <c r="E117" s="3">
        <f t="shared" si="2"/>
        <v>4</v>
      </c>
      <c r="F117" s="2" t="s">
        <v>1499</v>
      </c>
      <c r="G117" s="3">
        <v>4</v>
      </c>
      <c r="H117" s="2">
        <v>27.46</v>
      </c>
      <c r="I117" s="2">
        <v>18.96</v>
      </c>
      <c r="J117" s="2">
        <v>15.96</v>
      </c>
      <c r="K117" s="3">
        <v>4</v>
      </c>
      <c r="L117" s="2">
        <v>16</v>
      </c>
      <c r="M117" s="2">
        <v>7.5</v>
      </c>
      <c r="N117" s="53">
        <v>4.5</v>
      </c>
      <c r="O117" s="19">
        <f t="shared" si="3"/>
        <v>1</v>
      </c>
    </row>
    <row r="118" spans="1:15" x14ac:dyDescent="0.25">
      <c r="A118" s="51"/>
      <c r="B118" s="41"/>
      <c r="C118" t="s">
        <v>368</v>
      </c>
      <c r="D118" t="s">
        <v>181</v>
      </c>
      <c r="E118" s="3">
        <f t="shared" si="2"/>
        <v>4</v>
      </c>
      <c r="F118" s="2" t="s">
        <v>1499</v>
      </c>
      <c r="G118" s="3">
        <v>4</v>
      </c>
      <c r="H118" s="2">
        <v>27.46</v>
      </c>
      <c r="I118" s="2">
        <v>18.96</v>
      </c>
      <c r="J118" s="2">
        <v>15.96</v>
      </c>
      <c r="K118" s="3">
        <v>4</v>
      </c>
      <c r="L118" s="2">
        <v>15.55</v>
      </c>
      <c r="M118" s="2">
        <v>7.05</v>
      </c>
      <c r="N118" s="53">
        <v>4.05</v>
      </c>
      <c r="O118" s="19">
        <f t="shared" si="3"/>
        <v>1</v>
      </c>
    </row>
    <row r="119" spans="1:15" x14ac:dyDescent="0.25">
      <c r="A119" s="51"/>
      <c r="B119" s="41"/>
      <c r="C119" t="s">
        <v>369</v>
      </c>
      <c r="D119" t="s">
        <v>181</v>
      </c>
      <c r="E119" s="3">
        <f t="shared" si="2"/>
        <v>4</v>
      </c>
      <c r="F119" s="2" t="s">
        <v>1499</v>
      </c>
      <c r="G119" s="3">
        <v>4</v>
      </c>
      <c r="H119" s="2">
        <v>27.46</v>
      </c>
      <c r="I119" s="2">
        <v>18.96</v>
      </c>
      <c r="J119" s="2">
        <v>15.96</v>
      </c>
      <c r="K119" s="3">
        <v>4</v>
      </c>
      <c r="L119" s="2">
        <v>15.56</v>
      </c>
      <c r="M119" s="2">
        <v>7.06</v>
      </c>
      <c r="N119" s="53">
        <v>4.0599999999999996</v>
      </c>
      <c r="O119" s="19">
        <f t="shared" si="3"/>
        <v>1</v>
      </c>
    </row>
    <row r="120" spans="1:15" x14ac:dyDescent="0.25">
      <c r="A120" s="51"/>
      <c r="B120" s="41"/>
      <c r="C120" t="s">
        <v>370</v>
      </c>
      <c r="D120" t="s">
        <v>181</v>
      </c>
      <c r="E120" s="3">
        <f t="shared" si="2"/>
        <v>4</v>
      </c>
      <c r="F120" s="2" t="s">
        <v>1499</v>
      </c>
      <c r="G120" s="3">
        <v>4</v>
      </c>
      <c r="H120" s="2">
        <v>27.46</v>
      </c>
      <c r="I120" s="2">
        <v>18.96</v>
      </c>
      <c r="J120" s="2">
        <v>15.96</v>
      </c>
      <c r="K120" s="3">
        <v>4</v>
      </c>
      <c r="L120" s="2">
        <v>15.48</v>
      </c>
      <c r="M120" s="2">
        <v>6.98</v>
      </c>
      <c r="N120" s="53">
        <v>3.98</v>
      </c>
      <c r="O120" s="19">
        <f t="shared" si="3"/>
        <v>1</v>
      </c>
    </row>
    <row r="121" spans="1:15" x14ac:dyDescent="0.25">
      <c r="A121" s="52"/>
      <c r="B121" s="42"/>
      <c r="C121" s="10" t="s">
        <v>371</v>
      </c>
      <c r="D121" s="10" t="s">
        <v>181</v>
      </c>
      <c r="E121" s="11">
        <f t="shared" si="2"/>
        <v>4</v>
      </c>
      <c r="F121" s="12" t="s">
        <v>1499</v>
      </c>
      <c r="G121" s="11">
        <v>4</v>
      </c>
      <c r="H121" s="12">
        <v>27.46</v>
      </c>
      <c r="I121" s="12">
        <v>18.96</v>
      </c>
      <c r="J121" s="12">
        <v>15.96</v>
      </c>
      <c r="K121" s="11">
        <v>4</v>
      </c>
      <c r="L121" s="12">
        <v>16</v>
      </c>
      <c r="M121" s="12">
        <v>7.5</v>
      </c>
      <c r="N121" s="12">
        <v>4.5</v>
      </c>
      <c r="O121" s="20">
        <f t="shared" si="3"/>
        <v>1</v>
      </c>
    </row>
    <row r="122" spans="1:15" x14ac:dyDescent="0.25">
      <c r="A122" s="50" t="s">
        <v>2</v>
      </c>
      <c r="B122" s="40" t="s">
        <v>4</v>
      </c>
      <c r="C122" s="7" t="s">
        <v>372</v>
      </c>
      <c r="D122" s="7" t="s">
        <v>271</v>
      </c>
      <c r="E122" s="8">
        <f t="shared" si="2"/>
        <v>2</v>
      </c>
      <c r="F122" s="9" t="s">
        <v>1500</v>
      </c>
      <c r="G122" s="8">
        <v>4</v>
      </c>
      <c r="H122" s="9">
        <v>14.34</v>
      </c>
      <c r="I122" s="9">
        <v>5.84</v>
      </c>
      <c r="J122" s="9">
        <v>2.84</v>
      </c>
      <c r="K122" s="8">
        <v>2</v>
      </c>
      <c r="L122" s="9">
        <v>8</v>
      </c>
      <c r="M122" s="9">
        <v>-0.5</v>
      </c>
      <c r="N122" s="53">
        <v>-3.5</v>
      </c>
      <c r="O122" s="19">
        <f t="shared" si="3"/>
        <v>1</v>
      </c>
    </row>
    <row r="123" spans="1:15" x14ac:dyDescent="0.25">
      <c r="A123" s="51"/>
      <c r="B123" s="41"/>
      <c r="C123" t="s">
        <v>373</v>
      </c>
      <c r="D123" t="s">
        <v>271</v>
      </c>
      <c r="E123" s="3">
        <f t="shared" si="2"/>
        <v>2</v>
      </c>
      <c r="F123" s="2" t="s">
        <v>1500</v>
      </c>
      <c r="G123" s="3">
        <v>4</v>
      </c>
      <c r="H123" s="2">
        <v>14.34</v>
      </c>
      <c r="I123" s="2">
        <v>5.84</v>
      </c>
      <c r="J123" s="2">
        <v>2.84</v>
      </c>
      <c r="K123" s="3">
        <v>2</v>
      </c>
      <c r="L123" s="2">
        <v>8</v>
      </c>
      <c r="M123" s="2">
        <v>-0.5</v>
      </c>
      <c r="N123" s="53">
        <v>-3.5</v>
      </c>
      <c r="O123" s="19">
        <f t="shared" si="3"/>
        <v>1</v>
      </c>
    </row>
    <row r="124" spans="1:15" x14ac:dyDescent="0.25">
      <c r="A124" s="51"/>
      <c r="B124" s="41"/>
      <c r="C124" t="s">
        <v>374</v>
      </c>
      <c r="D124" t="s">
        <v>271</v>
      </c>
      <c r="E124" s="3">
        <f t="shared" si="2"/>
        <v>2</v>
      </c>
      <c r="F124" s="2" t="s">
        <v>1500</v>
      </c>
      <c r="G124" s="3">
        <v>4</v>
      </c>
      <c r="H124" s="2">
        <v>14.34</v>
      </c>
      <c r="I124" s="2">
        <v>5.84</v>
      </c>
      <c r="J124" s="2">
        <v>2.84</v>
      </c>
      <c r="K124" s="3">
        <v>2</v>
      </c>
      <c r="L124" s="2">
        <v>8</v>
      </c>
      <c r="M124" s="2">
        <v>-0.5</v>
      </c>
      <c r="N124" s="53">
        <v>-3.5</v>
      </c>
      <c r="O124" s="19">
        <f t="shared" si="3"/>
        <v>1</v>
      </c>
    </row>
    <row r="125" spans="1:15" x14ac:dyDescent="0.25">
      <c r="A125" s="51"/>
      <c r="B125" s="41"/>
      <c r="C125" t="s">
        <v>375</v>
      </c>
      <c r="D125" t="s">
        <v>271</v>
      </c>
      <c r="E125" s="3">
        <f t="shared" si="2"/>
        <v>2</v>
      </c>
      <c r="F125" s="2" t="s">
        <v>1500</v>
      </c>
      <c r="G125" s="3">
        <v>4</v>
      </c>
      <c r="H125" s="2">
        <v>14.34</v>
      </c>
      <c r="I125" s="2">
        <v>5.84</v>
      </c>
      <c r="J125" s="2">
        <v>2.84</v>
      </c>
      <c r="K125" s="3">
        <v>2</v>
      </c>
      <c r="L125" s="2">
        <v>8</v>
      </c>
      <c r="M125" s="2">
        <v>-0.5</v>
      </c>
      <c r="N125" s="53">
        <v>-3.5</v>
      </c>
      <c r="O125" s="19">
        <f t="shared" si="3"/>
        <v>1</v>
      </c>
    </row>
    <row r="126" spans="1:15" x14ac:dyDescent="0.25">
      <c r="A126" s="51"/>
      <c r="B126" s="41"/>
      <c r="C126" t="s">
        <v>376</v>
      </c>
      <c r="D126" t="s">
        <v>271</v>
      </c>
      <c r="E126" s="3">
        <f t="shared" si="2"/>
        <v>2</v>
      </c>
      <c r="F126" s="2" t="s">
        <v>1500</v>
      </c>
      <c r="G126" s="3">
        <v>4</v>
      </c>
      <c r="H126" s="2">
        <v>14.34</v>
      </c>
      <c r="I126" s="2">
        <v>5.84</v>
      </c>
      <c r="J126" s="2">
        <v>2.84</v>
      </c>
      <c r="K126" s="3">
        <v>2</v>
      </c>
      <c r="L126" s="2">
        <v>8</v>
      </c>
      <c r="M126" s="2">
        <v>-0.5</v>
      </c>
      <c r="N126" s="53">
        <v>-3.5</v>
      </c>
      <c r="O126" s="19">
        <f t="shared" si="3"/>
        <v>1</v>
      </c>
    </row>
    <row r="127" spans="1:15" x14ac:dyDescent="0.25">
      <c r="A127" s="51"/>
      <c r="B127" s="41"/>
      <c r="C127" t="s">
        <v>377</v>
      </c>
      <c r="D127" t="s">
        <v>271</v>
      </c>
      <c r="E127" s="3">
        <f t="shared" si="2"/>
        <v>2</v>
      </c>
      <c r="F127" s="2" t="s">
        <v>1500</v>
      </c>
      <c r="G127" s="3">
        <v>4</v>
      </c>
      <c r="H127" s="2">
        <v>14.34</v>
      </c>
      <c r="I127" s="2">
        <v>5.84</v>
      </c>
      <c r="J127" s="2">
        <v>2.84</v>
      </c>
      <c r="K127" s="3">
        <v>2</v>
      </c>
      <c r="L127" s="2">
        <v>8</v>
      </c>
      <c r="M127" s="2">
        <v>-0.5</v>
      </c>
      <c r="N127" s="53">
        <v>-3.5</v>
      </c>
      <c r="O127" s="19">
        <f t="shared" si="3"/>
        <v>1</v>
      </c>
    </row>
    <row r="128" spans="1:15" x14ac:dyDescent="0.25">
      <c r="A128" s="51"/>
      <c r="B128" s="41"/>
      <c r="C128" t="s">
        <v>378</v>
      </c>
      <c r="D128" t="s">
        <v>271</v>
      </c>
      <c r="E128" s="3">
        <f t="shared" si="2"/>
        <v>2</v>
      </c>
      <c r="F128" s="2" t="s">
        <v>1500</v>
      </c>
      <c r="G128" s="3">
        <v>4</v>
      </c>
      <c r="H128" s="2">
        <v>14.34</v>
      </c>
      <c r="I128" s="2">
        <v>5.84</v>
      </c>
      <c r="J128" s="2">
        <v>2.84</v>
      </c>
      <c r="K128" s="3">
        <v>2</v>
      </c>
      <c r="L128" s="2">
        <v>8</v>
      </c>
      <c r="M128" s="2">
        <v>-0.5</v>
      </c>
      <c r="N128" s="53">
        <v>-3.5</v>
      </c>
      <c r="O128" s="19">
        <f t="shared" si="3"/>
        <v>1</v>
      </c>
    </row>
    <row r="129" spans="1:15" x14ac:dyDescent="0.25">
      <c r="A129" s="51"/>
      <c r="B129" s="41"/>
      <c r="C129" t="s">
        <v>379</v>
      </c>
      <c r="D129" t="s">
        <v>271</v>
      </c>
      <c r="E129" s="3">
        <f t="shared" si="2"/>
        <v>2</v>
      </c>
      <c r="F129" s="2" t="s">
        <v>1500</v>
      </c>
      <c r="G129" s="3">
        <v>4</v>
      </c>
      <c r="H129" s="2">
        <v>14.34</v>
      </c>
      <c r="I129" s="2">
        <v>5.84</v>
      </c>
      <c r="J129" s="2">
        <v>2.84</v>
      </c>
      <c r="K129" s="3">
        <v>2</v>
      </c>
      <c r="L129" s="2">
        <v>8</v>
      </c>
      <c r="M129" s="2">
        <v>-0.5</v>
      </c>
      <c r="N129" s="53">
        <v>-3.5</v>
      </c>
      <c r="O129" s="19">
        <f t="shared" si="3"/>
        <v>1</v>
      </c>
    </row>
    <row r="130" spans="1:15" x14ac:dyDescent="0.25">
      <c r="A130" s="51"/>
      <c r="B130" s="41"/>
      <c r="C130" t="s">
        <v>380</v>
      </c>
      <c r="D130" t="s">
        <v>271</v>
      </c>
      <c r="E130" s="3">
        <f t="shared" ref="E130:E193" si="4">IF(D130="Muito Fraca", 1, IF(D130="Fraca", 2, IF(D130="Boa", 3, 4)))</f>
        <v>2</v>
      </c>
      <c r="F130" s="2" t="s">
        <v>1500</v>
      </c>
      <c r="G130" s="3">
        <v>4</v>
      </c>
      <c r="H130" s="2">
        <v>14.34</v>
      </c>
      <c r="I130" s="2">
        <v>5.84</v>
      </c>
      <c r="J130" s="2">
        <v>2.84</v>
      </c>
      <c r="K130" s="3">
        <v>2</v>
      </c>
      <c r="L130" s="2">
        <v>8</v>
      </c>
      <c r="M130" s="2">
        <v>-0.5</v>
      </c>
      <c r="N130" s="53">
        <v>-3.5</v>
      </c>
      <c r="O130" s="19">
        <f t="shared" si="3"/>
        <v>1</v>
      </c>
    </row>
    <row r="131" spans="1:15" x14ac:dyDescent="0.25">
      <c r="A131" s="51"/>
      <c r="B131" s="41"/>
      <c r="C131" t="s">
        <v>381</v>
      </c>
      <c r="D131" t="s">
        <v>271</v>
      </c>
      <c r="E131" s="3">
        <f t="shared" si="4"/>
        <v>2</v>
      </c>
      <c r="F131" s="2" t="s">
        <v>1500</v>
      </c>
      <c r="G131" s="3">
        <v>4</v>
      </c>
      <c r="H131" s="2">
        <v>14.34</v>
      </c>
      <c r="I131" s="2">
        <v>5.84</v>
      </c>
      <c r="J131" s="2">
        <v>2.84</v>
      </c>
      <c r="K131" s="3">
        <v>2</v>
      </c>
      <c r="L131" s="2">
        <v>8</v>
      </c>
      <c r="M131" s="2">
        <v>-0.5</v>
      </c>
      <c r="N131" s="53">
        <v>-3.5</v>
      </c>
      <c r="O131" s="19">
        <f t="shared" ref="O131:O194" si="5">E131/K131</f>
        <v>1</v>
      </c>
    </row>
    <row r="132" spans="1:15" x14ac:dyDescent="0.25">
      <c r="A132" s="51"/>
      <c r="B132" s="41"/>
      <c r="C132" t="s">
        <v>382</v>
      </c>
      <c r="D132" t="s">
        <v>271</v>
      </c>
      <c r="E132" s="3">
        <f t="shared" si="4"/>
        <v>2</v>
      </c>
      <c r="F132" s="2" t="s">
        <v>1501</v>
      </c>
      <c r="G132" s="3">
        <v>4</v>
      </c>
      <c r="H132" s="2">
        <v>15.39</v>
      </c>
      <c r="I132" s="2">
        <v>6.9</v>
      </c>
      <c r="J132" s="2">
        <v>3.9</v>
      </c>
      <c r="K132" s="3">
        <v>2</v>
      </c>
      <c r="L132" s="2">
        <v>8</v>
      </c>
      <c r="M132" s="2">
        <v>-0.5</v>
      </c>
      <c r="N132" s="53">
        <v>-3.5</v>
      </c>
      <c r="O132" s="19">
        <f t="shared" si="5"/>
        <v>1</v>
      </c>
    </row>
    <row r="133" spans="1:15" x14ac:dyDescent="0.25">
      <c r="A133" s="51"/>
      <c r="B133" s="41"/>
      <c r="C133" t="s">
        <v>383</v>
      </c>
      <c r="D133" t="s">
        <v>271</v>
      </c>
      <c r="E133" s="3">
        <f t="shared" si="4"/>
        <v>2</v>
      </c>
      <c r="F133" s="2" t="s">
        <v>1501</v>
      </c>
      <c r="G133" s="3">
        <v>4</v>
      </c>
      <c r="H133" s="2">
        <v>15.39</v>
      </c>
      <c r="I133" s="2">
        <v>6.9</v>
      </c>
      <c r="J133" s="2">
        <v>3.9</v>
      </c>
      <c r="K133" s="3">
        <v>2</v>
      </c>
      <c r="L133" s="2">
        <v>8</v>
      </c>
      <c r="M133" s="2">
        <v>-0.5</v>
      </c>
      <c r="N133" s="53">
        <v>-3.5</v>
      </c>
      <c r="O133" s="19">
        <f t="shared" si="5"/>
        <v>1</v>
      </c>
    </row>
    <row r="134" spans="1:15" x14ac:dyDescent="0.25">
      <c r="A134" s="51"/>
      <c r="B134" s="41"/>
      <c r="C134" t="s">
        <v>384</v>
      </c>
      <c r="D134" t="s">
        <v>271</v>
      </c>
      <c r="E134" s="3">
        <f t="shared" si="4"/>
        <v>2</v>
      </c>
      <c r="F134" s="2" t="s">
        <v>1501</v>
      </c>
      <c r="G134" s="3">
        <v>4</v>
      </c>
      <c r="H134" s="2">
        <v>15.39</v>
      </c>
      <c r="I134" s="2">
        <v>6.9</v>
      </c>
      <c r="J134" s="2">
        <v>3.9</v>
      </c>
      <c r="K134" s="3">
        <v>2</v>
      </c>
      <c r="L134" s="2">
        <v>8</v>
      </c>
      <c r="M134" s="2">
        <v>-0.5</v>
      </c>
      <c r="N134" s="53">
        <v>-3.5</v>
      </c>
      <c r="O134" s="19">
        <f t="shared" si="5"/>
        <v>1</v>
      </c>
    </row>
    <row r="135" spans="1:15" x14ac:dyDescent="0.25">
      <c r="A135" s="51"/>
      <c r="B135" s="41"/>
      <c r="C135" t="s">
        <v>385</v>
      </c>
      <c r="D135" t="s">
        <v>271</v>
      </c>
      <c r="E135" s="3">
        <f t="shared" si="4"/>
        <v>2</v>
      </c>
      <c r="F135" s="2" t="s">
        <v>1501</v>
      </c>
      <c r="G135" s="3">
        <v>4</v>
      </c>
      <c r="H135" s="2">
        <v>15.39</v>
      </c>
      <c r="I135" s="2">
        <v>6.9</v>
      </c>
      <c r="J135" s="2">
        <v>3.9</v>
      </c>
      <c r="K135" s="3">
        <v>2</v>
      </c>
      <c r="L135" s="2">
        <v>8</v>
      </c>
      <c r="M135" s="2">
        <v>-0.5</v>
      </c>
      <c r="N135" s="53">
        <v>-3.5</v>
      </c>
      <c r="O135" s="19">
        <f t="shared" si="5"/>
        <v>1</v>
      </c>
    </row>
    <row r="136" spans="1:15" x14ac:dyDescent="0.25">
      <c r="A136" s="51"/>
      <c r="B136" s="41"/>
      <c r="C136" t="s">
        <v>386</v>
      </c>
      <c r="D136" t="s">
        <v>271</v>
      </c>
      <c r="E136" s="3">
        <f t="shared" si="4"/>
        <v>2</v>
      </c>
      <c r="F136" s="2" t="s">
        <v>1501</v>
      </c>
      <c r="G136" s="3">
        <v>4</v>
      </c>
      <c r="H136" s="2">
        <v>15.39</v>
      </c>
      <c r="I136" s="2">
        <v>6.9</v>
      </c>
      <c r="J136" s="2">
        <v>3.9</v>
      </c>
      <c r="K136" s="3">
        <v>2</v>
      </c>
      <c r="L136" s="2">
        <v>8</v>
      </c>
      <c r="M136" s="2">
        <v>-0.5</v>
      </c>
      <c r="N136" s="53">
        <v>-3.5</v>
      </c>
      <c r="O136" s="19">
        <f t="shared" si="5"/>
        <v>1</v>
      </c>
    </row>
    <row r="137" spans="1:15" x14ac:dyDescent="0.25">
      <c r="A137" s="51"/>
      <c r="B137" s="41"/>
      <c r="C137" t="s">
        <v>387</v>
      </c>
      <c r="D137" t="s">
        <v>271</v>
      </c>
      <c r="E137" s="3">
        <f t="shared" si="4"/>
        <v>2</v>
      </c>
      <c r="F137" s="2" t="s">
        <v>1501</v>
      </c>
      <c r="G137" s="3">
        <v>4</v>
      </c>
      <c r="H137" s="2">
        <v>15.39</v>
      </c>
      <c r="I137" s="2">
        <v>6.9</v>
      </c>
      <c r="J137" s="2">
        <v>3.9</v>
      </c>
      <c r="K137" s="3">
        <v>2</v>
      </c>
      <c r="L137" s="2">
        <v>8</v>
      </c>
      <c r="M137" s="2">
        <v>-0.5</v>
      </c>
      <c r="N137" s="53">
        <v>-3.5</v>
      </c>
      <c r="O137" s="19">
        <f t="shared" si="5"/>
        <v>1</v>
      </c>
    </row>
    <row r="138" spans="1:15" x14ac:dyDescent="0.25">
      <c r="A138" s="51"/>
      <c r="B138" s="41"/>
      <c r="C138" t="s">
        <v>388</v>
      </c>
      <c r="D138" t="s">
        <v>271</v>
      </c>
      <c r="E138" s="3">
        <f t="shared" si="4"/>
        <v>2</v>
      </c>
      <c r="F138" s="2" t="s">
        <v>1501</v>
      </c>
      <c r="G138" s="3">
        <v>4</v>
      </c>
      <c r="H138" s="2">
        <v>15.39</v>
      </c>
      <c r="I138" s="2">
        <v>6.9</v>
      </c>
      <c r="J138" s="2">
        <v>3.9</v>
      </c>
      <c r="K138" s="3">
        <v>2</v>
      </c>
      <c r="L138" s="2">
        <v>8</v>
      </c>
      <c r="M138" s="2">
        <v>-0.5</v>
      </c>
      <c r="N138" s="53">
        <v>-3.5</v>
      </c>
      <c r="O138" s="19">
        <f t="shared" si="5"/>
        <v>1</v>
      </c>
    </row>
    <row r="139" spans="1:15" x14ac:dyDescent="0.25">
      <c r="A139" s="51"/>
      <c r="B139" s="41"/>
      <c r="C139" t="s">
        <v>389</v>
      </c>
      <c r="D139" t="s">
        <v>271</v>
      </c>
      <c r="E139" s="3">
        <f t="shared" si="4"/>
        <v>2</v>
      </c>
      <c r="F139" s="2" t="s">
        <v>1501</v>
      </c>
      <c r="G139" s="3">
        <v>4</v>
      </c>
      <c r="H139" s="2">
        <v>15.39</v>
      </c>
      <c r="I139" s="2">
        <v>6.9</v>
      </c>
      <c r="J139" s="2">
        <v>3.9</v>
      </c>
      <c r="K139" s="3">
        <v>2</v>
      </c>
      <c r="L139" s="2">
        <v>8</v>
      </c>
      <c r="M139" s="2">
        <v>-0.5</v>
      </c>
      <c r="N139" s="53">
        <v>-3.5</v>
      </c>
      <c r="O139" s="19">
        <f t="shared" si="5"/>
        <v>1</v>
      </c>
    </row>
    <row r="140" spans="1:15" x14ac:dyDescent="0.25">
      <c r="A140" s="51"/>
      <c r="B140" s="41"/>
      <c r="C140" t="s">
        <v>390</v>
      </c>
      <c r="D140" t="s">
        <v>271</v>
      </c>
      <c r="E140" s="3">
        <f t="shared" si="4"/>
        <v>2</v>
      </c>
      <c r="F140" s="2" t="s">
        <v>1501</v>
      </c>
      <c r="G140" s="3">
        <v>4</v>
      </c>
      <c r="H140" s="2">
        <v>15.39</v>
      </c>
      <c r="I140" s="2">
        <v>6.9</v>
      </c>
      <c r="J140" s="2">
        <v>3.9</v>
      </c>
      <c r="K140" s="3">
        <v>2</v>
      </c>
      <c r="L140" s="2">
        <v>8</v>
      </c>
      <c r="M140" s="2">
        <v>-0.5</v>
      </c>
      <c r="N140" s="53">
        <v>-3.5</v>
      </c>
      <c r="O140" s="19">
        <f t="shared" si="5"/>
        <v>1</v>
      </c>
    </row>
    <row r="141" spans="1:15" x14ac:dyDescent="0.25">
      <c r="A141" s="51"/>
      <c r="B141" s="42"/>
      <c r="C141" s="10" t="s">
        <v>391</v>
      </c>
      <c r="D141" s="10" t="s">
        <v>271</v>
      </c>
      <c r="E141" s="11">
        <f t="shared" si="4"/>
        <v>2</v>
      </c>
      <c r="F141" s="12" t="s">
        <v>1501</v>
      </c>
      <c r="G141" s="11">
        <v>4</v>
      </c>
      <c r="H141" s="12">
        <v>15.39</v>
      </c>
      <c r="I141" s="12">
        <v>6.9</v>
      </c>
      <c r="J141" s="12">
        <v>3.9</v>
      </c>
      <c r="K141" s="11">
        <v>2</v>
      </c>
      <c r="L141" s="12">
        <v>8</v>
      </c>
      <c r="M141" s="12">
        <v>-0.5</v>
      </c>
      <c r="N141" s="12">
        <v>-3.5</v>
      </c>
      <c r="O141" s="20">
        <f t="shared" si="5"/>
        <v>1</v>
      </c>
    </row>
    <row r="142" spans="1:15" x14ac:dyDescent="0.25">
      <c r="A142" s="51"/>
      <c r="B142" s="40" t="s">
        <v>6</v>
      </c>
      <c r="C142" s="7" t="s">
        <v>392</v>
      </c>
      <c r="D142" s="7" t="s">
        <v>181</v>
      </c>
      <c r="E142" s="8">
        <f t="shared" si="4"/>
        <v>4</v>
      </c>
      <c r="F142" s="9" t="s">
        <v>1502</v>
      </c>
      <c r="G142" s="8">
        <v>4</v>
      </c>
      <c r="H142" s="9">
        <v>21.51</v>
      </c>
      <c r="I142" s="9">
        <v>13.01</v>
      </c>
      <c r="J142" s="9">
        <v>10.01</v>
      </c>
      <c r="K142" s="8">
        <v>4</v>
      </c>
      <c r="L142" s="9">
        <v>12</v>
      </c>
      <c r="M142" s="9">
        <v>3.5</v>
      </c>
      <c r="N142" s="53">
        <v>0.5</v>
      </c>
      <c r="O142" s="19">
        <f t="shared" si="5"/>
        <v>1</v>
      </c>
    </row>
    <row r="143" spans="1:15" x14ac:dyDescent="0.25">
      <c r="A143" s="51"/>
      <c r="B143" s="41"/>
      <c r="C143" t="s">
        <v>393</v>
      </c>
      <c r="D143" t="s">
        <v>181</v>
      </c>
      <c r="E143" s="3">
        <f t="shared" si="4"/>
        <v>4</v>
      </c>
      <c r="F143" s="2" t="s">
        <v>1502</v>
      </c>
      <c r="G143" s="3">
        <v>4</v>
      </c>
      <c r="H143" s="2">
        <v>21.51</v>
      </c>
      <c r="I143" s="2">
        <v>13.01</v>
      </c>
      <c r="J143" s="2">
        <v>10.01</v>
      </c>
      <c r="K143" s="3">
        <v>4</v>
      </c>
      <c r="L143" s="2">
        <v>12</v>
      </c>
      <c r="M143" s="2">
        <v>3.5</v>
      </c>
      <c r="N143" s="53">
        <v>0.5</v>
      </c>
      <c r="O143" s="19">
        <f t="shared" si="5"/>
        <v>1</v>
      </c>
    </row>
    <row r="144" spans="1:15" x14ac:dyDescent="0.25">
      <c r="A144" s="51"/>
      <c r="B144" s="41"/>
      <c r="C144" t="s">
        <v>394</v>
      </c>
      <c r="D144" t="s">
        <v>181</v>
      </c>
      <c r="E144" s="3">
        <f t="shared" si="4"/>
        <v>4</v>
      </c>
      <c r="F144" s="2" t="s">
        <v>1502</v>
      </c>
      <c r="G144" s="3">
        <v>4</v>
      </c>
      <c r="H144" s="2">
        <v>21.51</v>
      </c>
      <c r="I144" s="2">
        <v>13.01</v>
      </c>
      <c r="J144" s="2">
        <v>10.01</v>
      </c>
      <c r="K144" s="3">
        <v>4</v>
      </c>
      <c r="L144" s="2">
        <v>12</v>
      </c>
      <c r="M144" s="2">
        <v>3.5</v>
      </c>
      <c r="N144" s="53">
        <v>0.5</v>
      </c>
      <c r="O144" s="19">
        <f t="shared" si="5"/>
        <v>1</v>
      </c>
    </row>
    <row r="145" spans="1:15" x14ac:dyDescent="0.25">
      <c r="A145" s="51"/>
      <c r="B145" s="41"/>
      <c r="C145" t="s">
        <v>395</v>
      </c>
      <c r="D145" t="s">
        <v>181</v>
      </c>
      <c r="E145" s="3">
        <f t="shared" si="4"/>
        <v>4</v>
      </c>
      <c r="F145" s="2" t="s">
        <v>1502</v>
      </c>
      <c r="G145" s="3">
        <v>4</v>
      </c>
      <c r="H145" s="2">
        <v>21.51</v>
      </c>
      <c r="I145" s="2">
        <v>13.01</v>
      </c>
      <c r="J145" s="2">
        <v>10.01</v>
      </c>
      <c r="K145" s="3">
        <v>4</v>
      </c>
      <c r="L145" s="2">
        <v>12</v>
      </c>
      <c r="M145" s="2">
        <v>3.5</v>
      </c>
      <c r="N145" s="53">
        <v>0.5</v>
      </c>
      <c r="O145" s="19">
        <f t="shared" si="5"/>
        <v>1</v>
      </c>
    </row>
    <row r="146" spans="1:15" x14ac:dyDescent="0.25">
      <c r="A146" s="51"/>
      <c r="B146" s="41"/>
      <c r="C146" t="s">
        <v>396</v>
      </c>
      <c r="D146" t="s">
        <v>181</v>
      </c>
      <c r="E146" s="3">
        <f t="shared" si="4"/>
        <v>4</v>
      </c>
      <c r="F146" s="2" t="s">
        <v>1502</v>
      </c>
      <c r="G146" s="3">
        <v>4</v>
      </c>
      <c r="H146" s="2">
        <v>21.51</v>
      </c>
      <c r="I146" s="2">
        <v>13.01</v>
      </c>
      <c r="J146" s="2">
        <v>10.01</v>
      </c>
      <c r="K146" s="3">
        <v>4</v>
      </c>
      <c r="L146" s="2">
        <v>12</v>
      </c>
      <c r="M146" s="2">
        <v>3.5</v>
      </c>
      <c r="N146" s="53">
        <v>0.5</v>
      </c>
      <c r="O146" s="19">
        <f t="shared" si="5"/>
        <v>1</v>
      </c>
    </row>
    <row r="147" spans="1:15" x14ac:dyDescent="0.25">
      <c r="A147" s="51"/>
      <c r="B147" s="41"/>
      <c r="C147" t="s">
        <v>397</v>
      </c>
      <c r="D147" t="s">
        <v>181</v>
      </c>
      <c r="E147" s="3">
        <f t="shared" si="4"/>
        <v>4</v>
      </c>
      <c r="F147" s="2" t="s">
        <v>1502</v>
      </c>
      <c r="G147" s="3">
        <v>4</v>
      </c>
      <c r="H147" s="2">
        <v>21.51</v>
      </c>
      <c r="I147" s="2">
        <v>13.01</v>
      </c>
      <c r="J147" s="2">
        <v>10.01</v>
      </c>
      <c r="K147" s="3">
        <v>4</v>
      </c>
      <c r="L147" s="2">
        <v>12</v>
      </c>
      <c r="M147" s="2">
        <v>3.5</v>
      </c>
      <c r="N147" s="53">
        <v>0.5</v>
      </c>
      <c r="O147" s="19">
        <f t="shared" si="5"/>
        <v>1</v>
      </c>
    </row>
    <row r="148" spans="1:15" x14ac:dyDescent="0.25">
      <c r="A148" s="51"/>
      <c r="B148" s="41"/>
      <c r="C148" t="s">
        <v>398</v>
      </c>
      <c r="D148" t="s">
        <v>181</v>
      </c>
      <c r="E148" s="3">
        <f t="shared" si="4"/>
        <v>4</v>
      </c>
      <c r="F148" s="2" t="s">
        <v>1502</v>
      </c>
      <c r="G148" s="3">
        <v>4</v>
      </c>
      <c r="H148" s="2">
        <v>21.51</v>
      </c>
      <c r="I148" s="2">
        <v>13.01</v>
      </c>
      <c r="J148" s="2">
        <v>10.01</v>
      </c>
      <c r="K148" s="3">
        <v>4</v>
      </c>
      <c r="L148" s="2">
        <v>12</v>
      </c>
      <c r="M148" s="2">
        <v>3.5</v>
      </c>
      <c r="N148" s="53">
        <v>0.5</v>
      </c>
      <c r="O148" s="19">
        <f t="shared" si="5"/>
        <v>1</v>
      </c>
    </row>
    <row r="149" spans="1:15" x14ac:dyDescent="0.25">
      <c r="A149" s="51"/>
      <c r="B149" s="41"/>
      <c r="C149" t="s">
        <v>399</v>
      </c>
      <c r="D149" t="s">
        <v>181</v>
      </c>
      <c r="E149" s="3">
        <f t="shared" si="4"/>
        <v>4</v>
      </c>
      <c r="F149" s="2" t="s">
        <v>1502</v>
      </c>
      <c r="G149" s="3">
        <v>4</v>
      </c>
      <c r="H149" s="2">
        <v>21.51</v>
      </c>
      <c r="I149" s="2">
        <v>13.01</v>
      </c>
      <c r="J149" s="2">
        <v>10.01</v>
      </c>
      <c r="K149" s="3">
        <v>4</v>
      </c>
      <c r="L149" s="2">
        <v>12</v>
      </c>
      <c r="M149" s="2">
        <v>3.5</v>
      </c>
      <c r="N149" s="53">
        <v>0.5</v>
      </c>
      <c r="O149" s="19">
        <f t="shared" si="5"/>
        <v>1</v>
      </c>
    </row>
    <row r="150" spans="1:15" x14ac:dyDescent="0.25">
      <c r="A150" s="51"/>
      <c r="B150" s="41"/>
      <c r="C150" t="s">
        <v>400</v>
      </c>
      <c r="D150" t="s">
        <v>181</v>
      </c>
      <c r="E150" s="3">
        <f t="shared" si="4"/>
        <v>4</v>
      </c>
      <c r="F150" s="2" t="s">
        <v>1502</v>
      </c>
      <c r="G150" s="3">
        <v>4</v>
      </c>
      <c r="H150" s="2">
        <v>21.51</v>
      </c>
      <c r="I150" s="2">
        <v>13.01</v>
      </c>
      <c r="J150" s="2">
        <v>10.01</v>
      </c>
      <c r="K150" s="3">
        <v>4</v>
      </c>
      <c r="L150" s="2">
        <v>12</v>
      </c>
      <c r="M150" s="2">
        <v>3.5</v>
      </c>
      <c r="N150" s="53">
        <v>0.5</v>
      </c>
      <c r="O150" s="19">
        <f t="shared" si="5"/>
        <v>1</v>
      </c>
    </row>
    <row r="151" spans="1:15" x14ac:dyDescent="0.25">
      <c r="A151" s="51"/>
      <c r="B151" s="41"/>
      <c r="C151" t="s">
        <v>401</v>
      </c>
      <c r="D151" t="s">
        <v>181</v>
      </c>
      <c r="E151" s="3">
        <f t="shared" si="4"/>
        <v>4</v>
      </c>
      <c r="F151" s="2" t="s">
        <v>1502</v>
      </c>
      <c r="G151" s="3">
        <v>4</v>
      </c>
      <c r="H151" s="2">
        <v>21.51</v>
      </c>
      <c r="I151" s="2">
        <v>13.01</v>
      </c>
      <c r="J151" s="2">
        <v>10.01</v>
      </c>
      <c r="K151" s="3">
        <v>4</v>
      </c>
      <c r="L151" s="2">
        <v>12</v>
      </c>
      <c r="M151" s="2">
        <v>3.5</v>
      </c>
      <c r="N151" s="53">
        <v>0.5</v>
      </c>
      <c r="O151" s="19">
        <f t="shared" si="5"/>
        <v>1</v>
      </c>
    </row>
    <row r="152" spans="1:15" x14ac:dyDescent="0.25">
      <c r="A152" s="51"/>
      <c r="B152" s="41"/>
      <c r="C152" t="s">
        <v>402</v>
      </c>
      <c r="D152" t="s">
        <v>181</v>
      </c>
      <c r="E152" s="3">
        <f t="shared" si="4"/>
        <v>4</v>
      </c>
      <c r="F152" s="2" t="s">
        <v>1503</v>
      </c>
      <c r="G152" s="3">
        <v>4</v>
      </c>
      <c r="H152" s="2">
        <v>23.09</v>
      </c>
      <c r="I152" s="2">
        <v>14.59</v>
      </c>
      <c r="J152" s="2">
        <v>11.59</v>
      </c>
      <c r="K152" s="3">
        <v>4</v>
      </c>
      <c r="L152" s="2">
        <v>12</v>
      </c>
      <c r="M152" s="2">
        <v>3.5</v>
      </c>
      <c r="N152" s="53">
        <v>0.5</v>
      </c>
      <c r="O152" s="19">
        <f t="shared" si="5"/>
        <v>1</v>
      </c>
    </row>
    <row r="153" spans="1:15" x14ac:dyDescent="0.25">
      <c r="A153" s="51"/>
      <c r="B153" s="41"/>
      <c r="C153" t="s">
        <v>403</v>
      </c>
      <c r="D153" t="s">
        <v>181</v>
      </c>
      <c r="E153" s="3">
        <f t="shared" si="4"/>
        <v>4</v>
      </c>
      <c r="F153" s="2" t="s">
        <v>1503</v>
      </c>
      <c r="G153" s="3">
        <v>4</v>
      </c>
      <c r="H153" s="2">
        <v>23.09</v>
      </c>
      <c r="I153" s="2">
        <v>14.59</v>
      </c>
      <c r="J153" s="2">
        <v>11.59</v>
      </c>
      <c r="K153" s="3">
        <v>4</v>
      </c>
      <c r="L153" s="2">
        <v>12</v>
      </c>
      <c r="M153" s="2">
        <v>3.5</v>
      </c>
      <c r="N153" s="53">
        <v>0.5</v>
      </c>
      <c r="O153" s="19">
        <f t="shared" si="5"/>
        <v>1</v>
      </c>
    </row>
    <row r="154" spans="1:15" x14ac:dyDescent="0.25">
      <c r="A154" s="51"/>
      <c r="B154" s="41"/>
      <c r="C154" t="s">
        <v>404</v>
      </c>
      <c r="D154" t="s">
        <v>181</v>
      </c>
      <c r="E154" s="3">
        <f t="shared" si="4"/>
        <v>4</v>
      </c>
      <c r="F154" s="2" t="s">
        <v>1503</v>
      </c>
      <c r="G154" s="3">
        <v>4</v>
      </c>
      <c r="H154" s="2">
        <v>23.09</v>
      </c>
      <c r="I154" s="2">
        <v>14.59</v>
      </c>
      <c r="J154" s="2">
        <v>11.59</v>
      </c>
      <c r="K154" s="3">
        <v>4</v>
      </c>
      <c r="L154" s="2">
        <v>12</v>
      </c>
      <c r="M154" s="2">
        <v>3.5</v>
      </c>
      <c r="N154" s="53">
        <v>0.5</v>
      </c>
      <c r="O154" s="19">
        <f t="shared" si="5"/>
        <v>1</v>
      </c>
    </row>
    <row r="155" spans="1:15" x14ac:dyDescent="0.25">
      <c r="A155" s="51"/>
      <c r="B155" s="41"/>
      <c r="C155" t="s">
        <v>405</v>
      </c>
      <c r="D155" t="s">
        <v>181</v>
      </c>
      <c r="E155" s="3">
        <f t="shared" si="4"/>
        <v>4</v>
      </c>
      <c r="F155" s="2" t="s">
        <v>1503</v>
      </c>
      <c r="G155" s="3">
        <v>4</v>
      </c>
      <c r="H155" s="2">
        <v>23.09</v>
      </c>
      <c r="I155" s="2">
        <v>14.59</v>
      </c>
      <c r="J155" s="2">
        <v>11.59</v>
      </c>
      <c r="K155" s="3">
        <v>4</v>
      </c>
      <c r="L155" s="2">
        <v>11</v>
      </c>
      <c r="M155" s="2">
        <v>2.5</v>
      </c>
      <c r="N155" s="53">
        <v>-0.5</v>
      </c>
      <c r="O155" s="19">
        <f t="shared" si="5"/>
        <v>1</v>
      </c>
    </row>
    <row r="156" spans="1:15" x14ac:dyDescent="0.25">
      <c r="A156" s="51"/>
      <c r="B156" s="41"/>
      <c r="C156" t="s">
        <v>406</v>
      </c>
      <c r="D156" t="s">
        <v>181</v>
      </c>
      <c r="E156" s="3">
        <f t="shared" si="4"/>
        <v>4</v>
      </c>
      <c r="F156" s="2" t="s">
        <v>1503</v>
      </c>
      <c r="G156" s="3">
        <v>4</v>
      </c>
      <c r="H156" s="2">
        <v>23.09</v>
      </c>
      <c r="I156" s="2">
        <v>14.59</v>
      </c>
      <c r="J156" s="2">
        <v>11.59</v>
      </c>
      <c r="K156" s="3">
        <v>4</v>
      </c>
      <c r="L156" s="2">
        <v>12</v>
      </c>
      <c r="M156" s="2">
        <v>3.5</v>
      </c>
      <c r="N156" s="53">
        <v>0.5</v>
      </c>
      <c r="O156" s="19">
        <f t="shared" si="5"/>
        <v>1</v>
      </c>
    </row>
    <row r="157" spans="1:15" x14ac:dyDescent="0.25">
      <c r="A157" s="51"/>
      <c r="B157" s="41"/>
      <c r="C157" t="s">
        <v>407</v>
      </c>
      <c r="D157" t="s">
        <v>181</v>
      </c>
      <c r="E157" s="3">
        <f t="shared" si="4"/>
        <v>4</v>
      </c>
      <c r="F157" s="2" t="s">
        <v>1503</v>
      </c>
      <c r="G157" s="3">
        <v>4</v>
      </c>
      <c r="H157" s="2">
        <v>23.09</v>
      </c>
      <c r="I157" s="2">
        <v>14.59</v>
      </c>
      <c r="J157" s="2">
        <v>11.59</v>
      </c>
      <c r="K157" s="3">
        <v>4</v>
      </c>
      <c r="L157" s="2">
        <v>12</v>
      </c>
      <c r="M157" s="2">
        <v>3.5</v>
      </c>
      <c r="N157" s="53">
        <v>0.5</v>
      </c>
      <c r="O157" s="19">
        <f t="shared" si="5"/>
        <v>1</v>
      </c>
    </row>
    <row r="158" spans="1:15" x14ac:dyDescent="0.25">
      <c r="A158" s="51"/>
      <c r="B158" s="41"/>
      <c r="C158" t="s">
        <v>408</v>
      </c>
      <c r="D158" t="s">
        <v>181</v>
      </c>
      <c r="E158" s="3">
        <f t="shared" si="4"/>
        <v>4</v>
      </c>
      <c r="F158" s="2" t="s">
        <v>1503</v>
      </c>
      <c r="G158" s="3">
        <v>4</v>
      </c>
      <c r="H158" s="2">
        <v>23.09</v>
      </c>
      <c r="I158" s="2">
        <v>14.59</v>
      </c>
      <c r="J158" s="2">
        <v>11.59</v>
      </c>
      <c r="K158" s="3">
        <v>4</v>
      </c>
      <c r="L158" s="2">
        <v>12</v>
      </c>
      <c r="M158" s="2">
        <v>3.5</v>
      </c>
      <c r="N158" s="53">
        <v>0.5</v>
      </c>
      <c r="O158" s="19">
        <f t="shared" si="5"/>
        <v>1</v>
      </c>
    </row>
    <row r="159" spans="1:15" x14ac:dyDescent="0.25">
      <c r="A159" s="51"/>
      <c r="B159" s="41"/>
      <c r="C159" t="s">
        <v>409</v>
      </c>
      <c r="D159" t="s">
        <v>181</v>
      </c>
      <c r="E159" s="3">
        <f t="shared" si="4"/>
        <v>4</v>
      </c>
      <c r="F159" s="2" t="s">
        <v>1503</v>
      </c>
      <c r="G159" s="3">
        <v>4</v>
      </c>
      <c r="H159" s="2">
        <v>23.09</v>
      </c>
      <c r="I159" s="2">
        <v>14.59</v>
      </c>
      <c r="J159" s="2">
        <v>11.59</v>
      </c>
      <c r="K159" s="3">
        <v>4</v>
      </c>
      <c r="L159" s="2">
        <v>12</v>
      </c>
      <c r="M159" s="2">
        <v>3.5</v>
      </c>
      <c r="N159" s="53">
        <v>0.5</v>
      </c>
      <c r="O159" s="19">
        <f t="shared" si="5"/>
        <v>1</v>
      </c>
    </row>
    <row r="160" spans="1:15" x14ac:dyDescent="0.25">
      <c r="A160" s="51"/>
      <c r="B160" s="41"/>
      <c r="C160" t="s">
        <v>410</v>
      </c>
      <c r="D160" t="s">
        <v>181</v>
      </c>
      <c r="E160" s="3">
        <f t="shared" si="4"/>
        <v>4</v>
      </c>
      <c r="F160" s="2" t="s">
        <v>1503</v>
      </c>
      <c r="G160" s="3">
        <v>4</v>
      </c>
      <c r="H160" s="2">
        <v>23.09</v>
      </c>
      <c r="I160" s="2">
        <v>14.59</v>
      </c>
      <c r="J160" s="2">
        <v>11.59</v>
      </c>
      <c r="K160" s="3">
        <v>4</v>
      </c>
      <c r="L160" s="2">
        <v>11.94</v>
      </c>
      <c r="M160" s="2">
        <v>3.44</v>
      </c>
      <c r="N160" s="53">
        <v>0.44</v>
      </c>
      <c r="O160" s="19">
        <f t="shared" si="5"/>
        <v>1</v>
      </c>
    </row>
    <row r="161" spans="1:15" x14ac:dyDescent="0.25">
      <c r="A161" s="51"/>
      <c r="B161" s="42"/>
      <c r="C161" s="10" t="s">
        <v>411</v>
      </c>
      <c r="D161" s="10" t="s">
        <v>181</v>
      </c>
      <c r="E161" s="11">
        <f t="shared" si="4"/>
        <v>4</v>
      </c>
      <c r="F161" s="12" t="s">
        <v>1503</v>
      </c>
      <c r="G161" s="11">
        <v>4</v>
      </c>
      <c r="H161" s="12">
        <v>23.09</v>
      </c>
      <c r="I161" s="12">
        <v>14.59</v>
      </c>
      <c r="J161" s="12">
        <v>11.59</v>
      </c>
      <c r="K161" s="11">
        <v>4</v>
      </c>
      <c r="L161" s="12">
        <v>12</v>
      </c>
      <c r="M161" s="12">
        <v>3.5</v>
      </c>
      <c r="N161" s="12">
        <v>0.5</v>
      </c>
      <c r="O161" s="20">
        <f t="shared" si="5"/>
        <v>1</v>
      </c>
    </row>
    <row r="162" spans="1:15" x14ac:dyDescent="0.25">
      <c r="A162" s="51"/>
      <c r="B162" s="40" t="s">
        <v>5</v>
      </c>
      <c r="C162" s="7" t="s">
        <v>412</v>
      </c>
      <c r="D162" s="7" t="s">
        <v>181</v>
      </c>
      <c r="E162" s="8">
        <f t="shared" si="4"/>
        <v>4</v>
      </c>
      <c r="F162" s="9" t="s">
        <v>1504</v>
      </c>
      <c r="G162" s="8">
        <v>4</v>
      </c>
      <c r="H162" s="9">
        <v>28.68</v>
      </c>
      <c r="I162" s="9">
        <v>20.18</v>
      </c>
      <c r="J162" s="9">
        <v>17.18</v>
      </c>
      <c r="K162" s="8">
        <v>4</v>
      </c>
      <c r="L162" s="9">
        <v>16</v>
      </c>
      <c r="M162" s="9">
        <v>7.5</v>
      </c>
      <c r="N162" s="53">
        <v>4.5</v>
      </c>
      <c r="O162" s="19">
        <f t="shared" si="5"/>
        <v>1</v>
      </c>
    </row>
    <row r="163" spans="1:15" x14ac:dyDescent="0.25">
      <c r="A163" s="51"/>
      <c r="B163" s="41"/>
      <c r="C163" t="s">
        <v>413</v>
      </c>
      <c r="D163" t="s">
        <v>181</v>
      </c>
      <c r="E163" s="3">
        <f t="shared" si="4"/>
        <v>4</v>
      </c>
      <c r="F163" s="2" t="s">
        <v>1504</v>
      </c>
      <c r="G163" s="3">
        <v>4</v>
      </c>
      <c r="H163" s="2">
        <v>28.68</v>
      </c>
      <c r="I163" s="2">
        <v>20.18</v>
      </c>
      <c r="J163" s="2">
        <v>17.18</v>
      </c>
      <c r="K163" s="3">
        <v>4</v>
      </c>
      <c r="L163" s="2">
        <v>16</v>
      </c>
      <c r="M163" s="2">
        <v>7.5</v>
      </c>
      <c r="N163" s="53">
        <v>4.5</v>
      </c>
      <c r="O163" s="19">
        <f t="shared" si="5"/>
        <v>1</v>
      </c>
    </row>
    <row r="164" spans="1:15" x14ac:dyDescent="0.25">
      <c r="A164" s="51"/>
      <c r="B164" s="41"/>
      <c r="C164" t="s">
        <v>414</v>
      </c>
      <c r="D164" t="s">
        <v>181</v>
      </c>
      <c r="E164" s="3">
        <f t="shared" si="4"/>
        <v>4</v>
      </c>
      <c r="F164" s="2" t="s">
        <v>1504</v>
      </c>
      <c r="G164" s="3">
        <v>4</v>
      </c>
      <c r="H164" s="2">
        <v>28.68</v>
      </c>
      <c r="I164" s="2">
        <v>20.18</v>
      </c>
      <c r="J164" s="2">
        <v>17.18</v>
      </c>
      <c r="K164" s="3">
        <v>4</v>
      </c>
      <c r="L164" s="2">
        <v>16</v>
      </c>
      <c r="M164" s="2">
        <v>7.5</v>
      </c>
      <c r="N164" s="53">
        <v>4.5</v>
      </c>
      <c r="O164" s="19">
        <f t="shared" si="5"/>
        <v>1</v>
      </c>
    </row>
    <row r="165" spans="1:15" x14ac:dyDescent="0.25">
      <c r="A165" s="51"/>
      <c r="B165" s="41"/>
      <c r="C165" t="s">
        <v>415</v>
      </c>
      <c r="D165" t="s">
        <v>181</v>
      </c>
      <c r="E165" s="3">
        <f t="shared" si="4"/>
        <v>4</v>
      </c>
      <c r="F165" s="2" t="s">
        <v>1504</v>
      </c>
      <c r="G165" s="3">
        <v>4</v>
      </c>
      <c r="H165" s="2">
        <v>28.68</v>
      </c>
      <c r="I165" s="2">
        <v>20.18</v>
      </c>
      <c r="J165" s="2">
        <v>17.18</v>
      </c>
      <c r="K165" s="3">
        <v>4</v>
      </c>
      <c r="L165" s="2">
        <v>16</v>
      </c>
      <c r="M165" s="2">
        <v>7.5</v>
      </c>
      <c r="N165" s="53">
        <v>4.5</v>
      </c>
      <c r="O165" s="19">
        <f t="shared" si="5"/>
        <v>1</v>
      </c>
    </row>
    <row r="166" spans="1:15" x14ac:dyDescent="0.25">
      <c r="A166" s="51"/>
      <c r="B166" s="41"/>
      <c r="C166" t="s">
        <v>416</v>
      </c>
      <c r="D166" t="s">
        <v>181</v>
      </c>
      <c r="E166" s="3">
        <f t="shared" si="4"/>
        <v>4</v>
      </c>
      <c r="F166" s="2" t="s">
        <v>1504</v>
      </c>
      <c r="G166" s="3">
        <v>4</v>
      </c>
      <c r="H166" s="2">
        <v>28.68</v>
      </c>
      <c r="I166" s="2">
        <v>20.18</v>
      </c>
      <c r="J166" s="2">
        <v>17.18</v>
      </c>
      <c r="K166" s="3">
        <v>4</v>
      </c>
      <c r="L166" s="2">
        <v>16</v>
      </c>
      <c r="M166" s="2">
        <v>7.5</v>
      </c>
      <c r="N166" s="53">
        <v>4.5</v>
      </c>
      <c r="O166" s="19">
        <f t="shared" si="5"/>
        <v>1</v>
      </c>
    </row>
    <row r="167" spans="1:15" x14ac:dyDescent="0.25">
      <c r="A167" s="51"/>
      <c r="B167" s="41"/>
      <c r="C167" t="s">
        <v>417</v>
      </c>
      <c r="D167" t="s">
        <v>181</v>
      </c>
      <c r="E167" s="3">
        <f t="shared" si="4"/>
        <v>4</v>
      </c>
      <c r="F167" s="2" t="s">
        <v>1504</v>
      </c>
      <c r="G167" s="3">
        <v>4</v>
      </c>
      <c r="H167" s="2">
        <v>28.68</v>
      </c>
      <c r="I167" s="2">
        <v>20.18</v>
      </c>
      <c r="J167" s="2">
        <v>17.18</v>
      </c>
      <c r="K167" s="3">
        <v>4</v>
      </c>
      <c r="L167" s="2">
        <v>16</v>
      </c>
      <c r="M167" s="2">
        <v>7.5</v>
      </c>
      <c r="N167" s="53">
        <v>4.5</v>
      </c>
      <c r="O167" s="19">
        <f t="shared" si="5"/>
        <v>1</v>
      </c>
    </row>
    <row r="168" spans="1:15" x14ac:dyDescent="0.25">
      <c r="A168" s="51"/>
      <c r="B168" s="41"/>
      <c r="C168" t="s">
        <v>418</v>
      </c>
      <c r="D168" t="s">
        <v>181</v>
      </c>
      <c r="E168" s="3">
        <f t="shared" si="4"/>
        <v>4</v>
      </c>
      <c r="F168" s="2" t="s">
        <v>1504</v>
      </c>
      <c r="G168" s="3">
        <v>4</v>
      </c>
      <c r="H168" s="2">
        <v>28.68</v>
      </c>
      <c r="I168" s="2">
        <v>20.18</v>
      </c>
      <c r="J168" s="2">
        <v>17.18</v>
      </c>
      <c r="K168" s="3">
        <v>4</v>
      </c>
      <c r="L168" s="2">
        <v>16</v>
      </c>
      <c r="M168" s="2">
        <v>7.5</v>
      </c>
      <c r="N168" s="53">
        <v>4.5</v>
      </c>
      <c r="O168" s="19">
        <f t="shared" si="5"/>
        <v>1</v>
      </c>
    </row>
    <row r="169" spans="1:15" x14ac:dyDescent="0.25">
      <c r="A169" s="51"/>
      <c r="B169" s="41"/>
      <c r="C169" t="s">
        <v>419</v>
      </c>
      <c r="D169" t="s">
        <v>181</v>
      </c>
      <c r="E169" s="3">
        <f t="shared" si="4"/>
        <v>4</v>
      </c>
      <c r="F169" s="2" t="s">
        <v>1504</v>
      </c>
      <c r="G169" s="3">
        <v>4</v>
      </c>
      <c r="H169" s="2">
        <v>28.68</v>
      </c>
      <c r="I169" s="2">
        <v>20.18</v>
      </c>
      <c r="J169" s="2">
        <v>17.18</v>
      </c>
      <c r="K169" s="3">
        <v>4</v>
      </c>
      <c r="L169" s="2">
        <v>16</v>
      </c>
      <c r="M169" s="2">
        <v>7.5</v>
      </c>
      <c r="N169" s="53">
        <v>4.5</v>
      </c>
      <c r="O169" s="19">
        <f t="shared" si="5"/>
        <v>1</v>
      </c>
    </row>
    <row r="170" spans="1:15" x14ac:dyDescent="0.25">
      <c r="A170" s="51"/>
      <c r="B170" s="41"/>
      <c r="C170" t="s">
        <v>420</v>
      </c>
      <c r="D170" t="s">
        <v>181</v>
      </c>
      <c r="E170" s="3">
        <f t="shared" si="4"/>
        <v>4</v>
      </c>
      <c r="F170" s="2" t="s">
        <v>1504</v>
      </c>
      <c r="G170" s="3">
        <v>4</v>
      </c>
      <c r="H170" s="2">
        <v>28.68</v>
      </c>
      <c r="I170" s="2">
        <v>20.18</v>
      </c>
      <c r="J170" s="2">
        <v>17.18</v>
      </c>
      <c r="K170" s="3">
        <v>4</v>
      </c>
      <c r="L170" s="2">
        <v>16</v>
      </c>
      <c r="M170" s="2">
        <v>7.5</v>
      </c>
      <c r="N170" s="53">
        <v>4.5</v>
      </c>
      <c r="O170" s="19">
        <f t="shared" si="5"/>
        <v>1</v>
      </c>
    </row>
    <row r="171" spans="1:15" x14ac:dyDescent="0.25">
      <c r="A171" s="51"/>
      <c r="B171" s="41"/>
      <c r="C171" t="s">
        <v>421</v>
      </c>
      <c r="D171" t="s">
        <v>181</v>
      </c>
      <c r="E171" s="3">
        <f t="shared" si="4"/>
        <v>4</v>
      </c>
      <c r="F171" s="2" t="s">
        <v>1504</v>
      </c>
      <c r="G171" s="3">
        <v>4</v>
      </c>
      <c r="H171" s="2">
        <v>28.68</v>
      </c>
      <c r="I171" s="2">
        <v>20.18</v>
      </c>
      <c r="J171" s="2">
        <v>17.18</v>
      </c>
      <c r="K171" s="3">
        <v>4</v>
      </c>
      <c r="L171" s="2">
        <v>16</v>
      </c>
      <c r="M171" s="2">
        <v>7.5</v>
      </c>
      <c r="N171" s="53">
        <v>4.5</v>
      </c>
      <c r="O171" s="19">
        <f t="shared" si="5"/>
        <v>1</v>
      </c>
    </row>
    <row r="172" spans="1:15" x14ac:dyDescent="0.25">
      <c r="A172" s="51"/>
      <c r="B172" s="41"/>
      <c r="C172" t="s">
        <v>422</v>
      </c>
      <c r="D172" t="s">
        <v>181</v>
      </c>
      <c r="E172" s="3">
        <f t="shared" si="4"/>
        <v>4</v>
      </c>
      <c r="F172" s="2" t="s">
        <v>1505</v>
      </c>
      <c r="G172" s="3">
        <v>4</v>
      </c>
      <c r="H172" s="2">
        <v>30.79</v>
      </c>
      <c r="I172" s="2">
        <v>22.29</v>
      </c>
      <c r="J172" s="2">
        <v>19.29</v>
      </c>
      <c r="K172" s="3">
        <v>4</v>
      </c>
      <c r="L172" s="2">
        <v>16</v>
      </c>
      <c r="M172" s="2">
        <v>7.5</v>
      </c>
      <c r="N172" s="53">
        <v>4.5</v>
      </c>
      <c r="O172" s="19">
        <f t="shared" si="5"/>
        <v>1</v>
      </c>
    </row>
    <row r="173" spans="1:15" x14ac:dyDescent="0.25">
      <c r="A173" s="51"/>
      <c r="B173" s="41"/>
      <c r="C173" t="s">
        <v>423</v>
      </c>
      <c r="D173" t="s">
        <v>181</v>
      </c>
      <c r="E173" s="3">
        <f t="shared" si="4"/>
        <v>4</v>
      </c>
      <c r="F173" s="2" t="s">
        <v>1505</v>
      </c>
      <c r="G173" s="3">
        <v>4</v>
      </c>
      <c r="H173" s="2">
        <v>30.79</v>
      </c>
      <c r="I173" s="2">
        <v>22.29</v>
      </c>
      <c r="J173" s="2">
        <v>19.29</v>
      </c>
      <c r="K173" s="3">
        <v>4</v>
      </c>
      <c r="L173" s="2">
        <v>15.44</v>
      </c>
      <c r="M173" s="2">
        <v>6.94</v>
      </c>
      <c r="N173" s="53">
        <v>3.94</v>
      </c>
      <c r="O173" s="19">
        <f t="shared" si="5"/>
        <v>1</v>
      </c>
    </row>
    <row r="174" spans="1:15" x14ac:dyDescent="0.25">
      <c r="A174" s="51"/>
      <c r="B174" s="41"/>
      <c r="C174" t="s">
        <v>424</v>
      </c>
      <c r="D174" t="s">
        <v>181</v>
      </c>
      <c r="E174" s="3">
        <f t="shared" si="4"/>
        <v>4</v>
      </c>
      <c r="F174" s="2" t="s">
        <v>1505</v>
      </c>
      <c r="G174" s="3">
        <v>4</v>
      </c>
      <c r="H174" s="2">
        <v>30.79</v>
      </c>
      <c r="I174" s="2">
        <v>22.29</v>
      </c>
      <c r="J174" s="2">
        <v>19.29</v>
      </c>
      <c r="K174" s="3">
        <v>4</v>
      </c>
      <c r="L174" s="2">
        <v>16</v>
      </c>
      <c r="M174" s="2">
        <v>7.5</v>
      </c>
      <c r="N174" s="53">
        <v>4.5</v>
      </c>
      <c r="O174" s="19">
        <f t="shared" si="5"/>
        <v>1</v>
      </c>
    </row>
    <row r="175" spans="1:15" x14ac:dyDescent="0.25">
      <c r="A175" s="51"/>
      <c r="B175" s="41"/>
      <c r="C175" t="s">
        <v>425</v>
      </c>
      <c r="D175" t="s">
        <v>181</v>
      </c>
      <c r="E175" s="3">
        <f t="shared" si="4"/>
        <v>4</v>
      </c>
      <c r="F175" s="2" t="s">
        <v>1505</v>
      </c>
      <c r="G175" s="3">
        <v>4</v>
      </c>
      <c r="H175" s="2">
        <v>30.79</v>
      </c>
      <c r="I175" s="2">
        <v>22.29</v>
      </c>
      <c r="J175" s="2">
        <v>19.29</v>
      </c>
      <c r="K175" s="3">
        <v>4</v>
      </c>
      <c r="L175" s="2">
        <v>16</v>
      </c>
      <c r="M175" s="2">
        <v>7.5</v>
      </c>
      <c r="N175" s="53">
        <v>4.5</v>
      </c>
      <c r="O175" s="19">
        <f t="shared" si="5"/>
        <v>1</v>
      </c>
    </row>
    <row r="176" spans="1:15" x14ac:dyDescent="0.25">
      <c r="A176" s="51"/>
      <c r="B176" s="41"/>
      <c r="C176" t="s">
        <v>426</v>
      </c>
      <c r="D176" t="s">
        <v>181</v>
      </c>
      <c r="E176" s="3">
        <f t="shared" si="4"/>
        <v>4</v>
      </c>
      <c r="F176" s="2" t="s">
        <v>1505</v>
      </c>
      <c r="G176" s="3">
        <v>4</v>
      </c>
      <c r="H176" s="2">
        <v>30.79</v>
      </c>
      <c r="I176" s="2">
        <v>22.29</v>
      </c>
      <c r="J176" s="2">
        <v>19.29</v>
      </c>
      <c r="K176" s="3">
        <v>4</v>
      </c>
      <c r="L176" s="2">
        <v>16</v>
      </c>
      <c r="M176" s="2">
        <v>7.5</v>
      </c>
      <c r="N176" s="53">
        <v>4.5</v>
      </c>
      <c r="O176" s="19">
        <f t="shared" si="5"/>
        <v>1</v>
      </c>
    </row>
    <row r="177" spans="1:15" x14ac:dyDescent="0.25">
      <c r="A177" s="51"/>
      <c r="B177" s="41"/>
      <c r="C177" t="s">
        <v>427</v>
      </c>
      <c r="D177" t="s">
        <v>181</v>
      </c>
      <c r="E177" s="3">
        <f t="shared" si="4"/>
        <v>4</v>
      </c>
      <c r="F177" s="2" t="s">
        <v>1505</v>
      </c>
      <c r="G177" s="3">
        <v>4</v>
      </c>
      <c r="H177" s="2">
        <v>30.79</v>
      </c>
      <c r="I177" s="2">
        <v>22.29</v>
      </c>
      <c r="J177" s="2">
        <v>19.29</v>
      </c>
      <c r="K177" s="3">
        <v>4</v>
      </c>
      <c r="L177" s="2">
        <v>16</v>
      </c>
      <c r="M177" s="2">
        <v>7.5</v>
      </c>
      <c r="N177" s="53">
        <v>4.5</v>
      </c>
      <c r="O177" s="19">
        <f t="shared" si="5"/>
        <v>1</v>
      </c>
    </row>
    <row r="178" spans="1:15" x14ac:dyDescent="0.25">
      <c r="A178" s="51"/>
      <c r="B178" s="41"/>
      <c r="C178" t="s">
        <v>428</v>
      </c>
      <c r="D178" t="s">
        <v>181</v>
      </c>
      <c r="E178" s="3">
        <f t="shared" si="4"/>
        <v>4</v>
      </c>
      <c r="F178" s="2" t="s">
        <v>1505</v>
      </c>
      <c r="G178" s="3">
        <v>4</v>
      </c>
      <c r="H178" s="2">
        <v>30.79</v>
      </c>
      <c r="I178" s="2">
        <v>22.29</v>
      </c>
      <c r="J178" s="2">
        <v>19.29</v>
      </c>
      <c r="K178" s="3">
        <v>4</v>
      </c>
      <c r="L178" s="2">
        <v>16</v>
      </c>
      <c r="M178" s="2">
        <v>7.5</v>
      </c>
      <c r="N178" s="53">
        <v>4.5</v>
      </c>
      <c r="O178" s="19">
        <f t="shared" si="5"/>
        <v>1</v>
      </c>
    </row>
    <row r="179" spans="1:15" x14ac:dyDescent="0.25">
      <c r="A179" s="51"/>
      <c r="B179" s="41"/>
      <c r="C179" t="s">
        <v>429</v>
      </c>
      <c r="D179" t="s">
        <v>181</v>
      </c>
      <c r="E179" s="3">
        <f t="shared" si="4"/>
        <v>4</v>
      </c>
      <c r="F179" s="2" t="s">
        <v>1505</v>
      </c>
      <c r="G179" s="3">
        <v>4</v>
      </c>
      <c r="H179" s="2">
        <v>30.79</v>
      </c>
      <c r="I179" s="2">
        <v>22.29</v>
      </c>
      <c r="J179" s="2">
        <v>19.29</v>
      </c>
      <c r="K179" s="3">
        <v>4</v>
      </c>
      <c r="L179" s="2">
        <v>16</v>
      </c>
      <c r="M179" s="2">
        <v>7.5</v>
      </c>
      <c r="N179" s="53">
        <v>4.5</v>
      </c>
      <c r="O179" s="19">
        <f t="shared" si="5"/>
        <v>1</v>
      </c>
    </row>
    <row r="180" spans="1:15" x14ac:dyDescent="0.25">
      <c r="A180" s="51"/>
      <c r="B180" s="41"/>
      <c r="C180" t="s">
        <v>430</v>
      </c>
      <c r="D180" t="s">
        <v>181</v>
      </c>
      <c r="E180" s="3">
        <f t="shared" si="4"/>
        <v>4</v>
      </c>
      <c r="F180" s="2" t="s">
        <v>1505</v>
      </c>
      <c r="G180" s="3">
        <v>4</v>
      </c>
      <c r="H180" s="2">
        <v>30.79</v>
      </c>
      <c r="I180" s="2">
        <v>22.29</v>
      </c>
      <c r="J180" s="2">
        <v>19.29</v>
      </c>
      <c r="K180" s="3">
        <v>4</v>
      </c>
      <c r="L180" s="2">
        <v>16</v>
      </c>
      <c r="M180" s="2">
        <v>7.5</v>
      </c>
      <c r="N180" s="53">
        <v>4.5</v>
      </c>
      <c r="O180" s="19">
        <f t="shared" si="5"/>
        <v>1</v>
      </c>
    </row>
    <row r="181" spans="1:15" x14ac:dyDescent="0.25">
      <c r="A181" s="52"/>
      <c r="B181" s="42"/>
      <c r="C181" s="10" t="s">
        <v>431</v>
      </c>
      <c r="D181" s="10" t="s">
        <v>181</v>
      </c>
      <c r="E181" s="11">
        <f t="shared" si="4"/>
        <v>4</v>
      </c>
      <c r="F181" s="12" t="s">
        <v>1505</v>
      </c>
      <c r="G181" s="11">
        <v>4</v>
      </c>
      <c r="H181" s="12">
        <v>30.79</v>
      </c>
      <c r="I181" s="12">
        <v>22.29</v>
      </c>
      <c r="J181" s="12">
        <v>19.29</v>
      </c>
      <c r="K181" s="11">
        <v>4</v>
      </c>
      <c r="L181" s="12">
        <v>16</v>
      </c>
      <c r="M181" s="12">
        <v>7.5</v>
      </c>
      <c r="N181" s="12">
        <v>4.5</v>
      </c>
      <c r="O181" s="20">
        <f t="shared" si="5"/>
        <v>1</v>
      </c>
    </row>
    <row r="182" spans="1:15" x14ac:dyDescent="0.25">
      <c r="A182" s="50" t="s">
        <v>3</v>
      </c>
      <c r="B182" s="40" t="s">
        <v>4</v>
      </c>
      <c r="C182" s="7" t="s">
        <v>432</v>
      </c>
      <c r="D182" s="7" t="s">
        <v>271</v>
      </c>
      <c r="E182" s="8">
        <f t="shared" si="4"/>
        <v>2</v>
      </c>
      <c r="F182" s="9" t="s">
        <v>1506</v>
      </c>
      <c r="G182" s="8">
        <v>4</v>
      </c>
      <c r="H182" s="9">
        <v>15.79</v>
      </c>
      <c r="I182" s="9">
        <v>7.29</v>
      </c>
      <c r="J182" s="9">
        <v>4.29</v>
      </c>
      <c r="K182" s="8">
        <v>2</v>
      </c>
      <c r="L182" s="9">
        <v>8</v>
      </c>
      <c r="M182" s="9">
        <v>-0.5</v>
      </c>
      <c r="N182" s="53">
        <v>-3.5</v>
      </c>
      <c r="O182" s="19">
        <f t="shared" si="5"/>
        <v>1</v>
      </c>
    </row>
    <row r="183" spans="1:15" x14ac:dyDescent="0.25">
      <c r="A183" s="51"/>
      <c r="B183" s="41"/>
      <c r="C183" t="s">
        <v>433</v>
      </c>
      <c r="D183" t="s">
        <v>271</v>
      </c>
      <c r="E183" s="3">
        <f t="shared" si="4"/>
        <v>2</v>
      </c>
      <c r="F183" s="2" t="s">
        <v>1506</v>
      </c>
      <c r="G183" s="3">
        <v>4</v>
      </c>
      <c r="H183" s="2">
        <v>15.79</v>
      </c>
      <c r="I183" s="2">
        <v>7.29</v>
      </c>
      <c r="J183" s="2">
        <v>4.29</v>
      </c>
      <c r="K183" s="3">
        <v>2</v>
      </c>
      <c r="L183" s="2">
        <v>8</v>
      </c>
      <c r="M183" s="2">
        <v>-0.5</v>
      </c>
      <c r="N183" s="53">
        <v>-3.5</v>
      </c>
      <c r="O183" s="19">
        <f t="shared" si="5"/>
        <v>1</v>
      </c>
    </row>
    <row r="184" spans="1:15" x14ac:dyDescent="0.25">
      <c r="A184" s="51"/>
      <c r="B184" s="41"/>
      <c r="C184" t="s">
        <v>434</v>
      </c>
      <c r="D184" t="s">
        <v>271</v>
      </c>
      <c r="E184" s="3">
        <f t="shared" si="4"/>
        <v>2</v>
      </c>
      <c r="F184" s="2" t="s">
        <v>1506</v>
      </c>
      <c r="G184" s="3">
        <v>4</v>
      </c>
      <c r="H184" s="2">
        <v>15.79</v>
      </c>
      <c r="I184" s="2">
        <v>7.29</v>
      </c>
      <c r="J184" s="2">
        <v>4.29</v>
      </c>
      <c r="K184" s="3">
        <v>2</v>
      </c>
      <c r="L184" s="2">
        <v>8</v>
      </c>
      <c r="M184" s="2">
        <v>-0.5</v>
      </c>
      <c r="N184" s="53">
        <v>-3.5</v>
      </c>
      <c r="O184" s="19">
        <f t="shared" si="5"/>
        <v>1</v>
      </c>
    </row>
    <row r="185" spans="1:15" x14ac:dyDescent="0.25">
      <c r="A185" s="51"/>
      <c r="B185" s="41"/>
      <c r="C185" t="s">
        <v>435</v>
      </c>
      <c r="D185" t="s">
        <v>271</v>
      </c>
      <c r="E185" s="3">
        <f t="shared" si="4"/>
        <v>2</v>
      </c>
      <c r="F185" s="2" t="s">
        <v>1506</v>
      </c>
      <c r="G185" s="3">
        <v>4</v>
      </c>
      <c r="H185" s="2">
        <v>15.79</v>
      </c>
      <c r="I185" s="2">
        <v>7.29</v>
      </c>
      <c r="J185" s="2">
        <v>4.29</v>
      </c>
      <c r="K185" s="3">
        <v>2</v>
      </c>
      <c r="L185" s="2">
        <v>8</v>
      </c>
      <c r="M185" s="2">
        <v>-0.5</v>
      </c>
      <c r="N185" s="53">
        <v>-3.5</v>
      </c>
      <c r="O185" s="19">
        <f t="shared" si="5"/>
        <v>1</v>
      </c>
    </row>
    <row r="186" spans="1:15" x14ac:dyDescent="0.25">
      <c r="A186" s="51"/>
      <c r="B186" s="41"/>
      <c r="C186" t="s">
        <v>436</v>
      </c>
      <c r="D186" t="s">
        <v>271</v>
      </c>
      <c r="E186" s="3">
        <f t="shared" si="4"/>
        <v>2</v>
      </c>
      <c r="F186" s="2" t="s">
        <v>1506</v>
      </c>
      <c r="G186" s="3">
        <v>4</v>
      </c>
      <c r="H186" s="2">
        <v>15.79</v>
      </c>
      <c r="I186" s="2">
        <v>7.29</v>
      </c>
      <c r="J186" s="2">
        <v>4.29</v>
      </c>
      <c r="K186" s="3">
        <v>2</v>
      </c>
      <c r="L186" s="2">
        <v>8</v>
      </c>
      <c r="M186" s="2">
        <v>-0.5</v>
      </c>
      <c r="N186" s="53">
        <v>-3.5</v>
      </c>
      <c r="O186" s="19">
        <f t="shared" si="5"/>
        <v>1</v>
      </c>
    </row>
    <row r="187" spans="1:15" x14ac:dyDescent="0.25">
      <c r="A187" s="51"/>
      <c r="B187" s="41"/>
      <c r="C187" t="s">
        <v>437</v>
      </c>
      <c r="D187" t="s">
        <v>271</v>
      </c>
      <c r="E187" s="3">
        <f t="shared" si="4"/>
        <v>2</v>
      </c>
      <c r="F187" s="2" t="s">
        <v>1506</v>
      </c>
      <c r="G187" s="3">
        <v>4</v>
      </c>
      <c r="H187" s="2">
        <v>15.79</v>
      </c>
      <c r="I187" s="2">
        <v>7.29</v>
      </c>
      <c r="J187" s="2">
        <v>4.29</v>
      </c>
      <c r="K187" s="3">
        <v>2</v>
      </c>
      <c r="L187" s="2">
        <v>8</v>
      </c>
      <c r="M187" s="2">
        <v>-0.5</v>
      </c>
      <c r="N187" s="53">
        <v>-3.5</v>
      </c>
      <c r="O187" s="19">
        <f t="shared" si="5"/>
        <v>1</v>
      </c>
    </row>
    <row r="188" spans="1:15" x14ac:dyDescent="0.25">
      <c r="A188" s="51"/>
      <c r="B188" s="41"/>
      <c r="C188" t="s">
        <v>438</v>
      </c>
      <c r="D188" t="s">
        <v>271</v>
      </c>
      <c r="E188" s="3">
        <f t="shared" si="4"/>
        <v>2</v>
      </c>
      <c r="F188" s="2" t="s">
        <v>1506</v>
      </c>
      <c r="G188" s="3">
        <v>4</v>
      </c>
      <c r="H188" s="2">
        <v>15.79</v>
      </c>
      <c r="I188" s="2">
        <v>7.29</v>
      </c>
      <c r="J188" s="2">
        <v>4.29</v>
      </c>
      <c r="K188" s="3">
        <v>2</v>
      </c>
      <c r="L188" s="2">
        <v>8</v>
      </c>
      <c r="M188" s="2">
        <v>-0.5</v>
      </c>
      <c r="N188" s="53">
        <v>-3.5</v>
      </c>
      <c r="O188" s="19">
        <f t="shared" si="5"/>
        <v>1</v>
      </c>
    </row>
    <row r="189" spans="1:15" x14ac:dyDescent="0.25">
      <c r="A189" s="51"/>
      <c r="B189" s="41"/>
      <c r="C189" t="s">
        <v>439</v>
      </c>
      <c r="D189" t="s">
        <v>271</v>
      </c>
      <c r="E189" s="3">
        <f t="shared" si="4"/>
        <v>2</v>
      </c>
      <c r="F189" s="2" t="s">
        <v>1506</v>
      </c>
      <c r="G189" s="3">
        <v>4</v>
      </c>
      <c r="H189" s="2">
        <v>15.79</v>
      </c>
      <c r="I189" s="2">
        <v>7.29</v>
      </c>
      <c r="J189" s="2">
        <v>4.29</v>
      </c>
      <c r="K189" s="3">
        <v>2</v>
      </c>
      <c r="L189" s="2">
        <v>8</v>
      </c>
      <c r="M189" s="2">
        <v>-0.5</v>
      </c>
      <c r="N189" s="53">
        <v>-3.5</v>
      </c>
      <c r="O189" s="19">
        <f t="shared" si="5"/>
        <v>1</v>
      </c>
    </row>
    <row r="190" spans="1:15" x14ac:dyDescent="0.25">
      <c r="A190" s="51"/>
      <c r="B190" s="41"/>
      <c r="C190" t="s">
        <v>440</v>
      </c>
      <c r="D190" t="s">
        <v>271</v>
      </c>
      <c r="E190" s="3">
        <f t="shared" si="4"/>
        <v>2</v>
      </c>
      <c r="F190" s="2" t="s">
        <v>1506</v>
      </c>
      <c r="G190" s="3">
        <v>4</v>
      </c>
      <c r="H190" s="2">
        <v>15.79</v>
      </c>
      <c r="I190" s="2">
        <v>7.29</v>
      </c>
      <c r="J190" s="2">
        <v>4.29</v>
      </c>
      <c r="K190" s="3">
        <v>2</v>
      </c>
      <c r="L190" s="2">
        <v>8</v>
      </c>
      <c r="M190" s="2">
        <v>-0.5</v>
      </c>
      <c r="N190" s="53">
        <v>-3.5</v>
      </c>
      <c r="O190" s="19">
        <f t="shared" si="5"/>
        <v>1</v>
      </c>
    </row>
    <row r="191" spans="1:15" x14ac:dyDescent="0.25">
      <c r="A191" s="51"/>
      <c r="B191" s="41"/>
      <c r="C191" t="s">
        <v>441</v>
      </c>
      <c r="D191" t="s">
        <v>271</v>
      </c>
      <c r="E191" s="3">
        <f t="shared" si="4"/>
        <v>2</v>
      </c>
      <c r="F191" s="2" t="s">
        <v>1506</v>
      </c>
      <c r="G191" s="3">
        <v>4</v>
      </c>
      <c r="H191" s="2">
        <v>15.79</v>
      </c>
      <c r="I191" s="2">
        <v>7.29</v>
      </c>
      <c r="J191" s="2">
        <v>4.29</v>
      </c>
      <c r="K191" s="3">
        <v>2</v>
      </c>
      <c r="L191" s="2">
        <v>8</v>
      </c>
      <c r="M191" s="2">
        <v>-0.5</v>
      </c>
      <c r="N191" s="53">
        <v>-3.5</v>
      </c>
      <c r="O191" s="19">
        <f t="shared" si="5"/>
        <v>1</v>
      </c>
    </row>
    <row r="192" spans="1:15" x14ac:dyDescent="0.25">
      <c r="A192" s="51"/>
      <c r="B192" s="41"/>
      <c r="C192" t="s">
        <v>442</v>
      </c>
      <c r="D192" t="s">
        <v>271</v>
      </c>
      <c r="E192" s="3">
        <f t="shared" si="4"/>
        <v>2</v>
      </c>
      <c r="F192" s="2" t="s">
        <v>1506</v>
      </c>
      <c r="G192" s="3">
        <v>4</v>
      </c>
      <c r="H192" s="2">
        <v>15.79</v>
      </c>
      <c r="I192" s="2">
        <v>7.29</v>
      </c>
      <c r="J192" s="2">
        <v>4.29</v>
      </c>
      <c r="K192" s="3">
        <v>2</v>
      </c>
      <c r="L192" s="2">
        <v>8</v>
      </c>
      <c r="M192" s="2">
        <v>-0.5</v>
      </c>
      <c r="N192" s="53">
        <v>-3.5</v>
      </c>
      <c r="O192" s="19">
        <f t="shared" si="5"/>
        <v>1</v>
      </c>
    </row>
    <row r="193" spans="1:15" x14ac:dyDescent="0.25">
      <c r="A193" s="51"/>
      <c r="B193" s="41"/>
      <c r="C193" t="s">
        <v>443</v>
      </c>
      <c r="D193" t="s">
        <v>271</v>
      </c>
      <c r="E193" s="3">
        <f t="shared" si="4"/>
        <v>2</v>
      </c>
      <c r="F193" s="2" t="s">
        <v>1506</v>
      </c>
      <c r="G193" s="3">
        <v>4</v>
      </c>
      <c r="H193" s="2">
        <v>15.79</v>
      </c>
      <c r="I193" s="2">
        <v>7.29</v>
      </c>
      <c r="J193" s="2">
        <v>4.29</v>
      </c>
      <c r="K193" s="3">
        <v>2</v>
      </c>
      <c r="L193" s="2">
        <v>8</v>
      </c>
      <c r="M193" s="2">
        <v>-0.5</v>
      </c>
      <c r="N193" s="53">
        <v>-3.5</v>
      </c>
      <c r="O193" s="19">
        <f t="shared" si="5"/>
        <v>1</v>
      </c>
    </row>
    <row r="194" spans="1:15" x14ac:dyDescent="0.25">
      <c r="A194" s="51"/>
      <c r="B194" s="41"/>
      <c r="C194" t="s">
        <v>444</v>
      </c>
      <c r="D194" t="s">
        <v>271</v>
      </c>
      <c r="E194" s="3">
        <f t="shared" ref="E194:E257" si="6">IF(D194="Muito Fraca", 1, IF(D194="Fraca", 2, IF(D194="Boa", 3, 4)))</f>
        <v>2</v>
      </c>
      <c r="F194" s="2" t="s">
        <v>1506</v>
      </c>
      <c r="G194" s="3">
        <v>4</v>
      </c>
      <c r="H194" s="2">
        <v>15.79</v>
      </c>
      <c r="I194" s="2">
        <v>7.29</v>
      </c>
      <c r="J194" s="2">
        <v>4.29</v>
      </c>
      <c r="K194" s="3">
        <v>2</v>
      </c>
      <c r="L194" s="2">
        <v>8</v>
      </c>
      <c r="M194" s="2">
        <v>-0.5</v>
      </c>
      <c r="N194" s="53">
        <v>-3.5</v>
      </c>
      <c r="O194" s="19">
        <f t="shared" si="5"/>
        <v>1</v>
      </c>
    </row>
    <row r="195" spans="1:15" x14ac:dyDescent="0.25">
      <c r="A195" s="51"/>
      <c r="B195" s="41"/>
      <c r="C195" t="s">
        <v>445</v>
      </c>
      <c r="D195" t="s">
        <v>271</v>
      </c>
      <c r="E195" s="3">
        <f t="shared" si="6"/>
        <v>2</v>
      </c>
      <c r="F195" s="2" t="s">
        <v>1506</v>
      </c>
      <c r="G195" s="3">
        <v>4</v>
      </c>
      <c r="H195" s="2">
        <v>15.79</v>
      </c>
      <c r="I195" s="2">
        <v>7.29</v>
      </c>
      <c r="J195" s="2">
        <v>4.29</v>
      </c>
      <c r="K195" s="3">
        <v>2</v>
      </c>
      <c r="L195" s="2">
        <v>7.03</v>
      </c>
      <c r="M195" s="2">
        <v>-1.47</v>
      </c>
      <c r="N195" s="53">
        <v>-4.47</v>
      </c>
      <c r="O195" s="19">
        <f t="shared" ref="O195:O241" si="7">E195/K195</f>
        <v>1</v>
      </c>
    </row>
    <row r="196" spans="1:15" x14ac:dyDescent="0.25">
      <c r="A196" s="51"/>
      <c r="B196" s="41"/>
      <c r="C196" t="s">
        <v>446</v>
      </c>
      <c r="D196" t="s">
        <v>271</v>
      </c>
      <c r="E196" s="3">
        <f t="shared" si="6"/>
        <v>2</v>
      </c>
      <c r="F196" s="2" t="s">
        <v>1506</v>
      </c>
      <c r="G196" s="3">
        <v>4</v>
      </c>
      <c r="H196" s="2">
        <v>15.79</v>
      </c>
      <c r="I196" s="2">
        <v>7.29</v>
      </c>
      <c r="J196" s="2">
        <v>4.29</v>
      </c>
      <c r="K196" s="3">
        <v>2</v>
      </c>
      <c r="L196" s="2">
        <v>8</v>
      </c>
      <c r="M196" s="2">
        <v>-0.5</v>
      </c>
      <c r="N196" s="53">
        <v>-3.5</v>
      </c>
      <c r="O196" s="19">
        <f t="shared" si="7"/>
        <v>1</v>
      </c>
    </row>
    <row r="197" spans="1:15" x14ac:dyDescent="0.25">
      <c r="A197" s="51"/>
      <c r="B197" s="41"/>
      <c r="C197" t="s">
        <v>447</v>
      </c>
      <c r="D197" t="s">
        <v>271</v>
      </c>
      <c r="E197" s="3">
        <f t="shared" si="6"/>
        <v>2</v>
      </c>
      <c r="F197" s="2" t="s">
        <v>1506</v>
      </c>
      <c r="G197" s="3">
        <v>4</v>
      </c>
      <c r="H197" s="2">
        <v>15.79</v>
      </c>
      <c r="I197" s="2">
        <v>7.29</v>
      </c>
      <c r="J197" s="2">
        <v>4.29</v>
      </c>
      <c r="K197" s="3">
        <v>2</v>
      </c>
      <c r="L197" s="2">
        <v>8</v>
      </c>
      <c r="M197" s="2">
        <v>-0.5</v>
      </c>
      <c r="N197" s="53">
        <v>-3.5</v>
      </c>
      <c r="O197" s="19">
        <f t="shared" si="7"/>
        <v>1</v>
      </c>
    </row>
    <row r="198" spans="1:15" x14ac:dyDescent="0.25">
      <c r="A198" s="51"/>
      <c r="B198" s="41"/>
      <c r="C198" t="s">
        <v>448</v>
      </c>
      <c r="D198" t="s">
        <v>271</v>
      </c>
      <c r="E198" s="3">
        <f t="shared" si="6"/>
        <v>2</v>
      </c>
      <c r="F198" s="2" t="s">
        <v>1506</v>
      </c>
      <c r="G198" s="3">
        <v>4</v>
      </c>
      <c r="H198" s="2">
        <v>15.79</v>
      </c>
      <c r="I198" s="2">
        <v>7.29</v>
      </c>
      <c r="J198" s="2">
        <v>4.29</v>
      </c>
      <c r="K198" s="3">
        <v>2</v>
      </c>
      <c r="L198" s="2">
        <v>8</v>
      </c>
      <c r="M198" s="2">
        <v>-0.5</v>
      </c>
      <c r="N198" s="53">
        <v>-3.5</v>
      </c>
      <c r="O198" s="19">
        <f t="shared" si="7"/>
        <v>1</v>
      </c>
    </row>
    <row r="199" spans="1:15" x14ac:dyDescent="0.25">
      <c r="A199" s="51"/>
      <c r="B199" s="41"/>
      <c r="C199" t="s">
        <v>449</v>
      </c>
      <c r="D199" t="s">
        <v>271</v>
      </c>
      <c r="E199" s="3">
        <f t="shared" si="6"/>
        <v>2</v>
      </c>
      <c r="F199" s="2" t="s">
        <v>1506</v>
      </c>
      <c r="G199" s="3">
        <v>4</v>
      </c>
      <c r="H199" s="2">
        <v>15.79</v>
      </c>
      <c r="I199" s="2">
        <v>7.29</v>
      </c>
      <c r="J199" s="2">
        <v>4.29</v>
      </c>
      <c r="K199" s="3">
        <v>2</v>
      </c>
      <c r="L199" s="2">
        <v>8</v>
      </c>
      <c r="M199" s="2">
        <v>-0.5</v>
      </c>
      <c r="N199" s="53">
        <v>-3.5</v>
      </c>
      <c r="O199" s="19">
        <f t="shared" si="7"/>
        <v>1</v>
      </c>
    </row>
    <row r="200" spans="1:15" x14ac:dyDescent="0.25">
      <c r="A200" s="51"/>
      <c r="B200" s="41"/>
      <c r="C200" t="s">
        <v>450</v>
      </c>
      <c r="D200" t="s">
        <v>271</v>
      </c>
      <c r="E200" s="3">
        <f t="shared" si="6"/>
        <v>2</v>
      </c>
      <c r="F200" s="2" t="s">
        <v>1506</v>
      </c>
      <c r="G200" s="3">
        <v>4</v>
      </c>
      <c r="H200" s="2">
        <v>15.79</v>
      </c>
      <c r="I200" s="2">
        <v>7.29</v>
      </c>
      <c r="J200" s="2">
        <v>4.29</v>
      </c>
      <c r="K200" s="3">
        <v>2</v>
      </c>
      <c r="L200" s="2">
        <v>8</v>
      </c>
      <c r="M200" s="2">
        <v>-0.5</v>
      </c>
      <c r="N200" s="53">
        <v>-3.5</v>
      </c>
      <c r="O200" s="19">
        <f t="shared" si="7"/>
        <v>1</v>
      </c>
    </row>
    <row r="201" spans="1:15" x14ac:dyDescent="0.25">
      <c r="A201" s="51"/>
      <c r="B201" s="42"/>
      <c r="C201" s="10" t="s">
        <v>451</v>
      </c>
      <c r="D201" s="10" t="s">
        <v>271</v>
      </c>
      <c r="E201" s="11">
        <f t="shared" si="6"/>
        <v>2</v>
      </c>
      <c r="F201" s="12" t="s">
        <v>1506</v>
      </c>
      <c r="G201" s="11">
        <v>4</v>
      </c>
      <c r="H201" s="12">
        <v>15.79</v>
      </c>
      <c r="I201" s="12">
        <v>7.29</v>
      </c>
      <c r="J201" s="12">
        <v>4.29</v>
      </c>
      <c r="K201" s="11">
        <v>2</v>
      </c>
      <c r="L201" s="12">
        <v>8</v>
      </c>
      <c r="M201" s="12">
        <v>-0.5</v>
      </c>
      <c r="N201" s="12">
        <v>-3.5</v>
      </c>
      <c r="O201" s="20">
        <f t="shared" si="7"/>
        <v>1</v>
      </c>
    </row>
    <row r="202" spans="1:15" x14ac:dyDescent="0.25">
      <c r="A202" s="51"/>
      <c r="B202" s="40" t="s">
        <v>6</v>
      </c>
      <c r="C202" s="7" t="s">
        <v>452</v>
      </c>
      <c r="D202" s="7" t="s">
        <v>181</v>
      </c>
      <c r="E202" s="8">
        <f t="shared" si="6"/>
        <v>4</v>
      </c>
      <c r="F202" s="9" t="s">
        <v>1507</v>
      </c>
      <c r="G202" s="8">
        <v>4</v>
      </c>
      <c r="H202" s="9">
        <v>23.68</v>
      </c>
      <c r="I202" s="9">
        <v>15.18</v>
      </c>
      <c r="J202" s="9">
        <v>12.18</v>
      </c>
      <c r="K202" s="8">
        <v>4</v>
      </c>
      <c r="L202" s="9">
        <v>12</v>
      </c>
      <c r="M202" s="9">
        <v>3.5</v>
      </c>
      <c r="N202" s="53">
        <v>0.5</v>
      </c>
      <c r="O202" s="19">
        <f t="shared" si="7"/>
        <v>1</v>
      </c>
    </row>
    <row r="203" spans="1:15" x14ac:dyDescent="0.25">
      <c r="A203" s="51"/>
      <c r="B203" s="41"/>
      <c r="C203" t="s">
        <v>453</v>
      </c>
      <c r="D203" t="s">
        <v>181</v>
      </c>
      <c r="E203" s="3">
        <f t="shared" si="6"/>
        <v>4</v>
      </c>
      <c r="F203" s="2" t="s">
        <v>1507</v>
      </c>
      <c r="G203" s="3">
        <v>4</v>
      </c>
      <c r="H203" s="2">
        <v>23.68</v>
      </c>
      <c r="I203" s="2">
        <v>15.18</v>
      </c>
      <c r="J203" s="2">
        <v>12.18</v>
      </c>
      <c r="K203" s="3">
        <v>4</v>
      </c>
      <c r="L203" s="2">
        <v>12</v>
      </c>
      <c r="M203" s="2">
        <v>3.5</v>
      </c>
      <c r="N203" s="53">
        <v>0.5</v>
      </c>
      <c r="O203" s="19">
        <f t="shared" si="7"/>
        <v>1</v>
      </c>
    </row>
    <row r="204" spans="1:15" x14ac:dyDescent="0.25">
      <c r="A204" s="51"/>
      <c r="B204" s="41"/>
      <c r="C204" t="s">
        <v>454</v>
      </c>
      <c r="D204" t="s">
        <v>181</v>
      </c>
      <c r="E204" s="3">
        <f t="shared" si="6"/>
        <v>4</v>
      </c>
      <c r="F204" s="2" t="s">
        <v>1507</v>
      </c>
      <c r="G204" s="3">
        <v>4</v>
      </c>
      <c r="H204" s="2">
        <v>23.68</v>
      </c>
      <c r="I204" s="2">
        <v>15.18</v>
      </c>
      <c r="J204" s="2">
        <v>12.18</v>
      </c>
      <c r="K204" s="3">
        <v>4</v>
      </c>
      <c r="L204" s="2">
        <v>12</v>
      </c>
      <c r="M204" s="2">
        <v>3.5</v>
      </c>
      <c r="N204" s="53">
        <v>0.5</v>
      </c>
      <c r="O204" s="19">
        <f t="shared" si="7"/>
        <v>1</v>
      </c>
    </row>
    <row r="205" spans="1:15" x14ac:dyDescent="0.25">
      <c r="A205" s="51"/>
      <c r="B205" s="41"/>
      <c r="C205" t="s">
        <v>455</v>
      </c>
      <c r="D205" t="s">
        <v>181</v>
      </c>
      <c r="E205" s="3">
        <f t="shared" si="6"/>
        <v>4</v>
      </c>
      <c r="F205" s="2" t="s">
        <v>1507</v>
      </c>
      <c r="G205" s="3">
        <v>4</v>
      </c>
      <c r="H205" s="2">
        <v>23.68</v>
      </c>
      <c r="I205" s="2">
        <v>15.18</v>
      </c>
      <c r="J205" s="2">
        <v>12.18</v>
      </c>
      <c r="K205" s="3">
        <v>4</v>
      </c>
      <c r="L205" s="2">
        <v>12</v>
      </c>
      <c r="M205" s="2">
        <v>3.5</v>
      </c>
      <c r="N205" s="53">
        <v>0.5</v>
      </c>
      <c r="O205" s="19">
        <f t="shared" si="7"/>
        <v>1</v>
      </c>
    </row>
    <row r="206" spans="1:15" x14ac:dyDescent="0.25">
      <c r="A206" s="51"/>
      <c r="B206" s="41"/>
      <c r="C206" t="s">
        <v>456</v>
      </c>
      <c r="D206" t="s">
        <v>181</v>
      </c>
      <c r="E206" s="3">
        <f t="shared" si="6"/>
        <v>4</v>
      </c>
      <c r="F206" s="2" t="s">
        <v>1507</v>
      </c>
      <c r="G206" s="3">
        <v>4</v>
      </c>
      <c r="H206" s="2">
        <v>23.68</v>
      </c>
      <c r="I206" s="2">
        <v>15.18</v>
      </c>
      <c r="J206" s="2">
        <v>12.18</v>
      </c>
      <c r="K206" s="3">
        <v>4</v>
      </c>
      <c r="L206" s="2">
        <v>12</v>
      </c>
      <c r="M206" s="2">
        <v>3.5</v>
      </c>
      <c r="N206" s="53">
        <v>0.5</v>
      </c>
      <c r="O206" s="19">
        <f t="shared" si="7"/>
        <v>1</v>
      </c>
    </row>
    <row r="207" spans="1:15" x14ac:dyDescent="0.25">
      <c r="A207" s="51"/>
      <c r="B207" s="41"/>
      <c r="C207" t="s">
        <v>457</v>
      </c>
      <c r="D207" t="s">
        <v>181</v>
      </c>
      <c r="E207" s="3">
        <f t="shared" si="6"/>
        <v>4</v>
      </c>
      <c r="F207" s="2" t="s">
        <v>1507</v>
      </c>
      <c r="G207" s="3">
        <v>4</v>
      </c>
      <c r="H207" s="2">
        <v>23.68</v>
      </c>
      <c r="I207" s="2">
        <v>15.18</v>
      </c>
      <c r="J207" s="2">
        <v>12.18</v>
      </c>
      <c r="K207" s="3">
        <v>4</v>
      </c>
      <c r="L207" s="2">
        <v>12</v>
      </c>
      <c r="M207" s="2">
        <v>3.5</v>
      </c>
      <c r="N207" s="53">
        <v>0.5</v>
      </c>
      <c r="O207" s="19">
        <f t="shared" si="7"/>
        <v>1</v>
      </c>
    </row>
    <row r="208" spans="1:15" x14ac:dyDescent="0.25">
      <c r="A208" s="51"/>
      <c r="B208" s="41"/>
      <c r="C208" t="s">
        <v>458</v>
      </c>
      <c r="D208" t="s">
        <v>181</v>
      </c>
      <c r="E208" s="3">
        <f t="shared" si="6"/>
        <v>4</v>
      </c>
      <c r="F208" s="2" t="s">
        <v>1507</v>
      </c>
      <c r="G208" s="3">
        <v>4</v>
      </c>
      <c r="H208" s="2">
        <v>23.68</v>
      </c>
      <c r="I208" s="2">
        <v>15.18</v>
      </c>
      <c r="J208" s="2">
        <v>12.18</v>
      </c>
      <c r="K208" s="3">
        <v>4</v>
      </c>
      <c r="L208" s="2">
        <v>12</v>
      </c>
      <c r="M208" s="2">
        <v>3.5</v>
      </c>
      <c r="N208" s="53">
        <v>0.5</v>
      </c>
      <c r="O208" s="19">
        <f t="shared" si="7"/>
        <v>1</v>
      </c>
    </row>
    <row r="209" spans="1:15" x14ac:dyDescent="0.25">
      <c r="A209" s="51"/>
      <c r="B209" s="41"/>
      <c r="C209" t="s">
        <v>459</v>
      </c>
      <c r="D209" t="s">
        <v>181</v>
      </c>
      <c r="E209" s="3">
        <f t="shared" si="6"/>
        <v>4</v>
      </c>
      <c r="F209" s="2" t="s">
        <v>1507</v>
      </c>
      <c r="G209" s="3">
        <v>4</v>
      </c>
      <c r="H209" s="2">
        <v>23.68</v>
      </c>
      <c r="I209" s="2">
        <v>15.18</v>
      </c>
      <c r="J209" s="2">
        <v>12.18</v>
      </c>
      <c r="K209" s="3">
        <v>4</v>
      </c>
      <c r="L209" s="2">
        <v>12</v>
      </c>
      <c r="M209" s="2">
        <v>3.5</v>
      </c>
      <c r="N209" s="53">
        <v>0.5</v>
      </c>
      <c r="O209" s="19">
        <f t="shared" si="7"/>
        <v>1</v>
      </c>
    </row>
    <row r="210" spans="1:15" x14ac:dyDescent="0.25">
      <c r="A210" s="51"/>
      <c r="B210" s="41"/>
      <c r="C210" t="s">
        <v>460</v>
      </c>
      <c r="D210" t="s">
        <v>181</v>
      </c>
      <c r="E210" s="3">
        <f t="shared" si="6"/>
        <v>4</v>
      </c>
      <c r="F210" s="2" t="s">
        <v>1507</v>
      </c>
      <c r="G210" s="3">
        <v>4</v>
      </c>
      <c r="H210" s="2">
        <v>23.68</v>
      </c>
      <c r="I210" s="2">
        <v>15.18</v>
      </c>
      <c r="J210" s="2">
        <v>12.18</v>
      </c>
      <c r="K210" s="3">
        <v>4</v>
      </c>
      <c r="L210" s="2">
        <v>12</v>
      </c>
      <c r="M210" s="2">
        <v>3.5</v>
      </c>
      <c r="N210" s="53">
        <v>0.5</v>
      </c>
      <c r="O210" s="19">
        <f t="shared" si="7"/>
        <v>1</v>
      </c>
    </row>
    <row r="211" spans="1:15" x14ac:dyDescent="0.25">
      <c r="A211" s="51"/>
      <c r="B211" s="41"/>
      <c r="C211" t="s">
        <v>461</v>
      </c>
      <c r="D211" t="s">
        <v>181</v>
      </c>
      <c r="E211" s="3">
        <f t="shared" si="6"/>
        <v>4</v>
      </c>
      <c r="F211" s="2" t="s">
        <v>1507</v>
      </c>
      <c r="G211" s="3">
        <v>4</v>
      </c>
      <c r="H211" s="2">
        <v>23.68</v>
      </c>
      <c r="I211" s="2">
        <v>15.18</v>
      </c>
      <c r="J211" s="2">
        <v>12.18</v>
      </c>
      <c r="K211" s="3">
        <v>4</v>
      </c>
      <c r="L211" s="2">
        <v>12</v>
      </c>
      <c r="M211" s="2">
        <v>3.5</v>
      </c>
      <c r="N211" s="53">
        <v>0.5</v>
      </c>
      <c r="O211" s="19">
        <f t="shared" si="7"/>
        <v>1</v>
      </c>
    </row>
    <row r="212" spans="1:15" x14ac:dyDescent="0.25">
      <c r="A212" s="51"/>
      <c r="B212" s="41"/>
      <c r="C212" t="s">
        <v>462</v>
      </c>
      <c r="D212" t="s">
        <v>181</v>
      </c>
      <c r="E212" s="3">
        <f t="shared" si="6"/>
        <v>4</v>
      </c>
      <c r="F212" s="2" t="s">
        <v>1507</v>
      </c>
      <c r="G212" s="3">
        <v>4</v>
      </c>
      <c r="H212" s="2">
        <v>23.68</v>
      </c>
      <c r="I212" s="2">
        <v>15.18</v>
      </c>
      <c r="J212" s="2">
        <v>12.18</v>
      </c>
      <c r="K212" s="3">
        <v>4</v>
      </c>
      <c r="L212" s="2">
        <v>12</v>
      </c>
      <c r="M212" s="2">
        <v>3.5</v>
      </c>
      <c r="N212" s="53">
        <v>0.5</v>
      </c>
      <c r="O212" s="19">
        <f t="shared" si="7"/>
        <v>1</v>
      </c>
    </row>
    <row r="213" spans="1:15" x14ac:dyDescent="0.25">
      <c r="A213" s="51"/>
      <c r="B213" s="41"/>
      <c r="C213" t="s">
        <v>463</v>
      </c>
      <c r="D213" t="s">
        <v>181</v>
      </c>
      <c r="E213" s="3">
        <f t="shared" si="6"/>
        <v>4</v>
      </c>
      <c r="F213" s="2" t="s">
        <v>1507</v>
      </c>
      <c r="G213" s="3">
        <v>4</v>
      </c>
      <c r="H213" s="2">
        <v>23.68</v>
      </c>
      <c r="I213" s="2">
        <v>15.18</v>
      </c>
      <c r="J213" s="2">
        <v>12.18</v>
      </c>
      <c r="K213" s="3">
        <v>4</v>
      </c>
      <c r="L213" s="2">
        <v>12</v>
      </c>
      <c r="M213" s="2">
        <v>3.5</v>
      </c>
      <c r="N213" s="53">
        <v>0.5</v>
      </c>
      <c r="O213" s="19">
        <f t="shared" si="7"/>
        <v>1</v>
      </c>
    </row>
    <row r="214" spans="1:15" x14ac:dyDescent="0.25">
      <c r="A214" s="51"/>
      <c r="B214" s="41"/>
      <c r="C214" t="s">
        <v>464</v>
      </c>
      <c r="D214" t="s">
        <v>181</v>
      </c>
      <c r="E214" s="3">
        <f t="shared" si="6"/>
        <v>4</v>
      </c>
      <c r="F214" s="2" t="s">
        <v>1507</v>
      </c>
      <c r="G214" s="3">
        <v>4</v>
      </c>
      <c r="H214" s="2">
        <v>23.68</v>
      </c>
      <c r="I214" s="2">
        <v>15.18</v>
      </c>
      <c r="J214" s="2">
        <v>12.18</v>
      </c>
      <c r="K214" s="3">
        <v>4</v>
      </c>
      <c r="L214" s="2">
        <v>12</v>
      </c>
      <c r="M214" s="2">
        <v>3.5</v>
      </c>
      <c r="N214" s="53">
        <v>0.5</v>
      </c>
      <c r="O214" s="19">
        <f t="shared" si="7"/>
        <v>1</v>
      </c>
    </row>
    <row r="215" spans="1:15" x14ac:dyDescent="0.25">
      <c r="A215" s="51"/>
      <c r="B215" s="41"/>
      <c r="C215" t="s">
        <v>465</v>
      </c>
      <c r="D215" t="s">
        <v>181</v>
      </c>
      <c r="E215" s="3">
        <f t="shared" si="6"/>
        <v>4</v>
      </c>
      <c r="F215" s="2" t="s">
        <v>1507</v>
      </c>
      <c r="G215" s="3">
        <v>4</v>
      </c>
      <c r="H215" s="2">
        <v>23.68</v>
      </c>
      <c r="I215" s="2">
        <v>15.18</v>
      </c>
      <c r="J215" s="2">
        <v>12.18</v>
      </c>
      <c r="K215" s="3">
        <v>4</v>
      </c>
      <c r="L215" s="2">
        <v>12</v>
      </c>
      <c r="M215" s="2">
        <v>3.5</v>
      </c>
      <c r="N215" s="53">
        <v>0.5</v>
      </c>
      <c r="O215" s="19">
        <f t="shared" si="7"/>
        <v>1</v>
      </c>
    </row>
    <row r="216" spans="1:15" x14ac:dyDescent="0.25">
      <c r="A216" s="51"/>
      <c r="B216" s="41"/>
      <c r="C216" t="s">
        <v>466</v>
      </c>
      <c r="D216" t="s">
        <v>181</v>
      </c>
      <c r="E216" s="3">
        <f t="shared" si="6"/>
        <v>4</v>
      </c>
      <c r="F216" s="2" t="s">
        <v>1507</v>
      </c>
      <c r="G216" s="3">
        <v>4</v>
      </c>
      <c r="H216" s="2">
        <v>23.68</v>
      </c>
      <c r="I216" s="2">
        <v>15.18</v>
      </c>
      <c r="J216" s="2">
        <v>12.18</v>
      </c>
      <c r="K216" s="3">
        <v>4</v>
      </c>
      <c r="L216" s="2">
        <v>12</v>
      </c>
      <c r="M216" s="2">
        <v>3.5</v>
      </c>
      <c r="N216" s="53">
        <v>0.5</v>
      </c>
      <c r="O216" s="19">
        <f t="shared" si="7"/>
        <v>1</v>
      </c>
    </row>
    <row r="217" spans="1:15" x14ac:dyDescent="0.25">
      <c r="A217" s="51"/>
      <c r="B217" s="41"/>
      <c r="C217" t="s">
        <v>467</v>
      </c>
      <c r="D217" t="s">
        <v>181</v>
      </c>
      <c r="E217" s="3">
        <f t="shared" si="6"/>
        <v>4</v>
      </c>
      <c r="F217" s="2" t="s">
        <v>1507</v>
      </c>
      <c r="G217" s="3">
        <v>4</v>
      </c>
      <c r="H217" s="2">
        <v>23.68</v>
      </c>
      <c r="I217" s="2">
        <v>15.18</v>
      </c>
      <c r="J217" s="2">
        <v>12.18</v>
      </c>
      <c r="K217" s="3">
        <v>4</v>
      </c>
      <c r="L217" s="2">
        <v>12</v>
      </c>
      <c r="M217" s="2">
        <v>3.5</v>
      </c>
      <c r="N217" s="53">
        <v>0.5</v>
      </c>
      <c r="O217" s="19">
        <f t="shared" si="7"/>
        <v>1</v>
      </c>
    </row>
    <row r="218" spans="1:15" x14ac:dyDescent="0.25">
      <c r="A218" s="51"/>
      <c r="B218" s="41"/>
      <c r="C218" t="s">
        <v>468</v>
      </c>
      <c r="D218" t="s">
        <v>181</v>
      </c>
      <c r="E218" s="3">
        <f t="shared" si="6"/>
        <v>4</v>
      </c>
      <c r="F218" s="2" t="s">
        <v>1507</v>
      </c>
      <c r="G218" s="3">
        <v>4</v>
      </c>
      <c r="H218" s="2">
        <v>23.68</v>
      </c>
      <c r="I218" s="2">
        <v>15.18</v>
      </c>
      <c r="J218" s="2">
        <v>12.18</v>
      </c>
      <c r="K218" s="3">
        <v>4</v>
      </c>
      <c r="L218" s="2">
        <v>12</v>
      </c>
      <c r="M218" s="2">
        <v>3.5</v>
      </c>
      <c r="N218" s="53">
        <v>0.5</v>
      </c>
      <c r="O218" s="19">
        <f t="shared" si="7"/>
        <v>1</v>
      </c>
    </row>
    <row r="219" spans="1:15" x14ac:dyDescent="0.25">
      <c r="A219" s="51"/>
      <c r="B219" s="41"/>
      <c r="C219" t="s">
        <v>469</v>
      </c>
      <c r="D219" t="s">
        <v>181</v>
      </c>
      <c r="E219" s="3">
        <f t="shared" si="6"/>
        <v>4</v>
      </c>
      <c r="F219" s="2" t="s">
        <v>1507</v>
      </c>
      <c r="G219" s="3">
        <v>4</v>
      </c>
      <c r="H219" s="2">
        <v>23.68</v>
      </c>
      <c r="I219" s="2">
        <v>15.18</v>
      </c>
      <c r="J219" s="2">
        <v>12.18</v>
      </c>
      <c r="K219" s="3">
        <v>4</v>
      </c>
      <c r="L219" s="2">
        <v>12</v>
      </c>
      <c r="M219" s="2">
        <v>3.5</v>
      </c>
      <c r="N219" s="53">
        <v>0.5</v>
      </c>
      <c r="O219" s="19">
        <f t="shared" si="7"/>
        <v>1</v>
      </c>
    </row>
    <row r="220" spans="1:15" x14ac:dyDescent="0.25">
      <c r="A220" s="51"/>
      <c r="B220" s="41"/>
      <c r="C220" t="s">
        <v>470</v>
      </c>
      <c r="D220" t="s">
        <v>181</v>
      </c>
      <c r="E220" s="3">
        <f t="shared" si="6"/>
        <v>4</v>
      </c>
      <c r="F220" s="2" t="s">
        <v>1507</v>
      </c>
      <c r="G220" s="3">
        <v>4</v>
      </c>
      <c r="H220" s="2">
        <v>23.68</v>
      </c>
      <c r="I220" s="2">
        <v>15.18</v>
      </c>
      <c r="J220" s="2">
        <v>12.18</v>
      </c>
      <c r="K220" s="3">
        <v>4</v>
      </c>
      <c r="L220" s="2">
        <v>12</v>
      </c>
      <c r="M220" s="2">
        <v>3.5</v>
      </c>
      <c r="N220" s="53">
        <v>0.5</v>
      </c>
      <c r="O220" s="19">
        <f t="shared" si="7"/>
        <v>1</v>
      </c>
    </row>
    <row r="221" spans="1:15" x14ac:dyDescent="0.25">
      <c r="A221" s="51"/>
      <c r="B221" s="42"/>
      <c r="C221" s="10" t="s">
        <v>471</v>
      </c>
      <c r="D221" s="10" t="s">
        <v>181</v>
      </c>
      <c r="E221" s="11">
        <f t="shared" si="6"/>
        <v>4</v>
      </c>
      <c r="F221" s="12" t="s">
        <v>1507</v>
      </c>
      <c r="G221" s="11">
        <v>4</v>
      </c>
      <c r="H221" s="12">
        <v>23.68</v>
      </c>
      <c r="I221" s="12">
        <v>15.18</v>
      </c>
      <c r="J221" s="12">
        <v>12.18</v>
      </c>
      <c r="K221" s="11">
        <v>4</v>
      </c>
      <c r="L221" s="12">
        <v>12</v>
      </c>
      <c r="M221" s="12">
        <v>3.5</v>
      </c>
      <c r="N221" s="12">
        <v>0.5</v>
      </c>
      <c r="O221" s="20">
        <f t="shared" si="7"/>
        <v>1</v>
      </c>
    </row>
    <row r="222" spans="1:15" x14ac:dyDescent="0.25">
      <c r="A222" s="51"/>
      <c r="B222" s="40" t="s">
        <v>5</v>
      </c>
      <c r="C222" s="7" t="s">
        <v>472</v>
      </c>
      <c r="D222" s="7" t="s">
        <v>181</v>
      </c>
      <c r="E222" s="8">
        <f t="shared" si="6"/>
        <v>4</v>
      </c>
      <c r="F222" s="9" t="s">
        <v>1508</v>
      </c>
      <c r="G222" s="8">
        <v>4</v>
      </c>
      <c r="H222" s="9">
        <v>31.57</v>
      </c>
      <c r="I222" s="9">
        <v>23.07</v>
      </c>
      <c r="J222" s="9">
        <v>20.07</v>
      </c>
      <c r="K222" s="8">
        <v>4</v>
      </c>
      <c r="L222" s="9">
        <v>16</v>
      </c>
      <c r="M222" s="9">
        <v>7.5</v>
      </c>
      <c r="N222" s="53">
        <v>4.5</v>
      </c>
      <c r="O222" s="19">
        <f t="shared" si="7"/>
        <v>1</v>
      </c>
    </row>
    <row r="223" spans="1:15" x14ac:dyDescent="0.25">
      <c r="A223" s="51"/>
      <c r="B223" s="41"/>
      <c r="C223" t="s">
        <v>473</v>
      </c>
      <c r="D223" t="s">
        <v>181</v>
      </c>
      <c r="E223" s="3">
        <f t="shared" si="6"/>
        <v>4</v>
      </c>
      <c r="F223" s="2" t="s">
        <v>1508</v>
      </c>
      <c r="G223" s="3">
        <v>4</v>
      </c>
      <c r="H223" s="2">
        <v>31.57</v>
      </c>
      <c r="I223" s="2">
        <v>23.07</v>
      </c>
      <c r="J223" s="2">
        <v>20.07</v>
      </c>
      <c r="K223" s="3">
        <v>4</v>
      </c>
      <c r="L223" s="2">
        <v>16</v>
      </c>
      <c r="M223" s="2">
        <v>7.5</v>
      </c>
      <c r="N223" s="53">
        <v>4.5</v>
      </c>
      <c r="O223" s="19">
        <f t="shared" si="7"/>
        <v>1</v>
      </c>
    </row>
    <row r="224" spans="1:15" x14ac:dyDescent="0.25">
      <c r="A224" s="51"/>
      <c r="B224" s="41"/>
      <c r="C224" t="s">
        <v>474</v>
      </c>
      <c r="D224" t="s">
        <v>181</v>
      </c>
      <c r="E224" s="3">
        <f t="shared" si="6"/>
        <v>4</v>
      </c>
      <c r="F224" s="2" t="s">
        <v>1508</v>
      </c>
      <c r="G224" s="3">
        <v>4</v>
      </c>
      <c r="H224" s="2">
        <v>31.57</v>
      </c>
      <c r="I224" s="2">
        <v>23.07</v>
      </c>
      <c r="J224" s="2">
        <v>20.07</v>
      </c>
      <c r="K224" s="3">
        <v>4</v>
      </c>
      <c r="L224" s="2">
        <v>16</v>
      </c>
      <c r="M224" s="2">
        <v>7.5</v>
      </c>
      <c r="N224" s="53">
        <v>4.5</v>
      </c>
      <c r="O224" s="19">
        <f t="shared" si="7"/>
        <v>1</v>
      </c>
    </row>
    <row r="225" spans="1:15" x14ac:dyDescent="0.25">
      <c r="A225" s="51"/>
      <c r="B225" s="41"/>
      <c r="C225" t="s">
        <v>475</v>
      </c>
      <c r="D225" t="s">
        <v>181</v>
      </c>
      <c r="E225" s="3">
        <f t="shared" si="6"/>
        <v>4</v>
      </c>
      <c r="F225" s="2" t="s">
        <v>1508</v>
      </c>
      <c r="G225" s="3">
        <v>4</v>
      </c>
      <c r="H225" s="2">
        <v>31.57</v>
      </c>
      <c r="I225" s="2">
        <v>23.07</v>
      </c>
      <c r="J225" s="2">
        <v>20.07</v>
      </c>
      <c r="K225" s="3">
        <v>4</v>
      </c>
      <c r="L225" s="2">
        <v>16</v>
      </c>
      <c r="M225" s="2">
        <v>7.5</v>
      </c>
      <c r="N225" s="53">
        <v>4.5</v>
      </c>
      <c r="O225" s="19">
        <f t="shared" si="7"/>
        <v>1</v>
      </c>
    </row>
    <row r="226" spans="1:15" x14ac:dyDescent="0.25">
      <c r="A226" s="51"/>
      <c r="B226" s="41"/>
      <c r="C226" t="s">
        <v>476</v>
      </c>
      <c r="D226" t="s">
        <v>181</v>
      </c>
      <c r="E226" s="3">
        <f t="shared" si="6"/>
        <v>4</v>
      </c>
      <c r="F226" s="2" t="s">
        <v>1508</v>
      </c>
      <c r="G226" s="3">
        <v>4</v>
      </c>
      <c r="H226" s="2">
        <v>31.57</v>
      </c>
      <c r="I226" s="2">
        <v>23.07</v>
      </c>
      <c r="J226" s="2">
        <v>20.07</v>
      </c>
      <c r="K226" s="3">
        <v>4</v>
      </c>
      <c r="L226" s="2">
        <v>16</v>
      </c>
      <c r="M226" s="2">
        <v>7.5</v>
      </c>
      <c r="N226" s="53">
        <v>4.5</v>
      </c>
      <c r="O226" s="19">
        <f t="shared" si="7"/>
        <v>1</v>
      </c>
    </row>
    <row r="227" spans="1:15" x14ac:dyDescent="0.25">
      <c r="A227" s="51"/>
      <c r="B227" s="41"/>
      <c r="C227" t="s">
        <v>477</v>
      </c>
      <c r="D227" t="s">
        <v>181</v>
      </c>
      <c r="E227" s="3">
        <f t="shared" si="6"/>
        <v>4</v>
      </c>
      <c r="F227" s="2" t="s">
        <v>1508</v>
      </c>
      <c r="G227" s="3">
        <v>4</v>
      </c>
      <c r="H227" s="2">
        <v>31.57</v>
      </c>
      <c r="I227" s="2">
        <v>23.07</v>
      </c>
      <c r="J227" s="2">
        <v>20.07</v>
      </c>
      <c r="K227" s="3">
        <v>4</v>
      </c>
      <c r="L227" s="2">
        <v>16</v>
      </c>
      <c r="M227" s="2">
        <v>7.5</v>
      </c>
      <c r="N227" s="53">
        <v>4.5</v>
      </c>
      <c r="O227" s="19">
        <f t="shared" si="7"/>
        <v>1</v>
      </c>
    </row>
    <row r="228" spans="1:15" x14ac:dyDescent="0.25">
      <c r="A228" s="51"/>
      <c r="B228" s="41"/>
      <c r="C228" t="s">
        <v>478</v>
      </c>
      <c r="D228" t="s">
        <v>181</v>
      </c>
      <c r="E228" s="3">
        <f t="shared" si="6"/>
        <v>4</v>
      </c>
      <c r="F228" s="2" t="s">
        <v>1508</v>
      </c>
      <c r="G228" s="3">
        <v>4</v>
      </c>
      <c r="H228" s="2">
        <v>31.57</v>
      </c>
      <c r="I228" s="2">
        <v>23.07</v>
      </c>
      <c r="J228" s="2">
        <v>20.07</v>
      </c>
      <c r="K228" s="3">
        <v>4</v>
      </c>
      <c r="L228" s="2">
        <v>16</v>
      </c>
      <c r="M228" s="2">
        <v>7.5</v>
      </c>
      <c r="N228" s="53">
        <v>4.5</v>
      </c>
      <c r="O228" s="19">
        <f t="shared" si="7"/>
        <v>1</v>
      </c>
    </row>
    <row r="229" spans="1:15" x14ac:dyDescent="0.25">
      <c r="A229" s="51"/>
      <c r="B229" s="41"/>
      <c r="C229" t="s">
        <v>479</v>
      </c>
      <c r="D229" t="s">
        <v>181</v>
      </c>
      <c r="E229" s="3">
        <f t="shared" si="6"/>
        <v>4</v>
      </c>
      <c r="F229" s="2" t="s">
        <v>1508</v>
      </c>
      <c r="G229" s="3">
        <v>4</v>
      </c>
      <c r="H229" s="2">
        <v>31.57</v>
      </c>
      <c r="I229" s="2">
        <v>23.07</v>
      </c>
      <c r="J229" s="2">
        <v>20.07</v>
      </c>
      <c r="K229" s="3">
        <v>4</v>
      </c>
      <c r="L229" s="2">
        <v>16</v>
      </c>
      <c r="M229" s="2">
        <v>7.5</v>
      </c>
      <c r="N229" s="53">
        <v>4.5</v>
      </c>
      <c r="O229" s="19">
        <f t="shared" si="7"/>
        <v>1</v>
      </c>
    </row>
    <row r="230" spans="1:15" x14ac:dyDescent="0.25">
      <c r="A230" s="51"/>
      <c r="B230" s="41"/>
      <c r="C230" t="s">
        <v>480</v>
      </c>
      <c r="D230" t="s">
        <v>181</v>
      </c>
      <c r="E230" s="3">
        <f t="shared" si="6"/>
        <v>4</v>
      </c>
      <c r="F230" s="2" t="s">
        <v>1508</v>
      </c>
      <c r="G230" s="3">
        <v>4</v>
      </c>
      <c r="H230" s="2">
        <v>31.57</v>
      </c>
      <c r="I230" s="2">
        <v>23.07</v>
      </c>
      <c r="J230" s="2">
        <v>20.07</v>
      </c>
      <c r="K230" s="3">
        <v>4</v>
      </c>
      <c r="L230" s="2">
        <v>16</v>
      </c>
      <c r="M230" s="2">
        <v>7.5</v>
      </c>
      <c r="N230" s="53">
        <v>4.5</v>
      </c>
      <c r="O230" s="19">
        <f t="shared" si="7"/>
        <v>1</v>
      </c>
    </row>
    <row r="231" spans="1:15" x14ac:dyDescent="0.25">
      <c r="A231" s="51"/>
      <c r="B231" s="41"/>
      <c r="C231" t="s">
        <v>481</v>
      </c>
      <c r="D231" t="s">
        <v>181</v>
      </c>
      <c r="E231" s="3">
        <f t="shared" si="6"/>
        <v>4</v>
      </c>
      <c r="F231" s="2" t="s">
        <v>1508</v>
      </c>
      <c r="G231" s="3">
        <v>4</v>
      </c>
      <c r="H231" s="2">
        <v>31.57</v>
      </c>
      <c r="I231" s="2">
        <v>23.07</v>
      </c>
      <c r="J231" s="2">
        <v>20.07</v>
      </c>
      <c r="K231" s="3">
        <v>4</v>
      </c>
      <c r="L231" s="2">
        <v>16</v>
      </c>
      <c r="M231" s="2">
        <v>7.5</v>
      </c>
      <c r="N231" s="53">
        <v>4.5</v>
      </c>
      <c r="O231" s="19">
        <f t="shared" si="7"/>
        <v>1</v>
      </c>
    </row>
    <row r="232" spans="1:15" x14ac:dyDescent="0.25">
      <c r="A232" s="51"/>
      <c r="B232" s="41"/>
      <c r="C232" t="s">
        <v>482</v>
      </c>
      <c r="D232" t="s">
        <v>181</v>
      </c>
      <c r="E232" s="3">
        <f t="shared" si="6"/>
        <v>4</v>
      </c>
      <c r="F232" s="2" t="s">
        <v>1508</v>
      </c>
      <c r="G232" s="3">
        <v>4</v>
      </c>
      <c r="H232" s="2">
        <v>31.57</v>
      </c>
      <c r="I232" s="2">
        <v>23.07</v>
      </c>
      <c r="J232" s="2">
        <v>20.07</v>
      </c>
      <c r="K232" s="3">
        <v>4</v>
      </c>
      <c r="L232" s="2">
        <v>16</v>
      </c>
      <c r="M232" s="2">
        <v>7.5</v>
      </c>
      <c r="N232" s="53">
        <v>4.5</v>
      </c>
      <c r="O232" s="19">
        <f t="shared" si="7"/>
        <v>1</v>
      </c>
    </row>
    <row r="233" spans="1:15" x14ac:dyDescent="0.25">
      <c r="A233" s="51"/>
      <c r="B233" s="41"/>
      <c r="C233" t="s">
        <v>483</v>
      </c>
      <c r="D233" t="s">
        <v>181</v>
      </c>
      <c r="E233" s="3">
        <f t="shared" si="6"/>
        <v>4</v>
      </c>
      <c r="F233" s="2" t="s">
        <v>1508</v>
      </c>
      <c r="G233" s="3">
        <v>4</v>
      </c>
      <c r="H233" s="2">
        <v>31.57</v>
      </c>
      <c r="I233" s="2">
        <v>23.07</v>
      </c>
      <c r="J233" s="2">
        <v>20.07</v>
      </c>
      <c r="K233" s="3">
        <v>4</v>
      </c>
      <c r="L233" s="2">
        <v>16</v>
      </c>
      <c r="M233" s="2">
        <v>7.5</v>
      </c>
      <c r="N233" s="53">
        <v>4.5</v>
      </c>
      <c r="O233" s="19">
        <f t="shared" si="7"/>
        <v>1</v>
      </c>
    </row>
    <row r="234" spans="1:15" x14ac:dyDescent="0.25">
      <c r="A234" s="51"/>
      <c r="B234" s="41"/>
      <c r="C234" t="s">
        <v>484</v>
      </c>
      <c r="D234" t="s">
        <v>181</v>
      </c>
      <c r="E234" s="3">
        <f t="shared" si="6"/>
        <v>4</v>
      </c>
      <c r="F234" s="2" t="s">
        <v>1508</v>
      </c>
      <c r="G234" s="3">
        <v>4</v>
      </c>
      <c r="H234" s="2">
        <v>31.57</v>
      </c>
      <c r="I234" s="2">
        <v>23.07</v>
      </c>
      <c r="J234" s="2">
        <v>20.07</v>
      </c>
      <c r="K234" s="3">
        <v>4</v>
      </c>
      <c r="L234" s="2">
        <v>16</v>
      </c>
      <c r="M234" s="2">
        <v>7.5</v>
      </c>
      <c r="N234" s="53">
        <v>4.5</v>
      </c>
      <c r="O234" s="19">
        <f t="shared" si="7"/>
        <v>1</v>
      </c>
    </row>
    <row r="235" spans="1:15" x14ac:dyDescent="0.25">
      <c r="A235" s="51"/>
      <c r="B235" s="41"/>
      <c r="C235" t="s">
        <v>485</v>
      </c>
      <c r="D235" t="s">
        <v>181</v>
      </c>
      <c r="E235" s="3">
        <f t="shared" si="6"/>
        <v>4</v>
      </c>
      <c r="F235" s="2" t="s">
        <v>1508</v>
      </c>
      <c r="G235" s="3">
        <v>4</v>
      </c>
      <c r="H235" s="2">
        <v>31.57</v>
      </c>
      <c r="I235" s="2">
        <v>23.07</v>
      </c>
      <c r="J235" s="2">
        <v>20.07</v>
      </c>
      <c r="K235" s="3">
        <v>4</v>
      </c>
      <c r="L235" s="2">
        <v>16</v>
      </c>
      <c r="M235" s="2">
        <v>7.5</v>
      </c>
      <c r="N235" s="53">
        <v>4.5</v>
      </c>
      <c r="O235" s="19">
        <f t="shared" si="7"/>
        <v>1</v>
      </c>
    </row>
    <row r="236" spans="1:15" x14ac:dyDescent="0.25">
      <c r="A236" s="51"/>
      <c r="B236" s="41"/>
      <c r="C236" t="s">
        <v>486</v>
      </c>
      <c r="D236" t="s">
        <v>181</v>
      </c>
      <c r="E236" s="3">
        <f t="shared" si="6"/>
        <v>4</v>
      </c>
      <c r="F236" s="2" t="s">
        <v>1508</v>
      </c>
      <c r="G236" s="3">
        <v>4</v>
      </c>
      <c r="H236" s="2">
        <v>31.57</v>
      </c>
      <c r="I236" s="2">
        <v>23.07</v>
      </c>
      <c r="J236" s="2">
        <v>20.07</v>
      </c>
      <c r="K236" s="3">
        <v>4</v>
      </c>
      <c r="L236" s="2">
        <v>16</v>
      </c>
      <c r="M236" s="2">
        <v>7.5</v>
      </c>
      <c r="N236" s="53">
        <v>4.5</v>
      </c>
      <c r="O236" s="19">
        <f t="shared" si="7"/>
        <v>1</v>
      </c>
    </row>
    <row r="237" spans="1:15" x14ac:dyDescent="0.25">
      <c r="A237" s="51"/>
      <c r="B237" s="41"/>
      <c r="C237" t="s">
        <v>487</v>
      </c>
      <c r="D237" t="s">
        <v>181</v>
      </c>
      <c r="E237" s="3">
        <f t="shared" si="6"/>
        <v>4</v>
      </c>
      <c r="F237" s="2" t="s">
        <v>1508</v>
      </c>
      <c r="G237" s="3">
        <v>4</v>
      </c>
      <c r="H237" s="2">
        <v>31.57</v>
      </c>
      <c r="I237" s="2">
        <v>23.07</v>
      </c>
      <c r="J237" s="2">
        <v>20.07</v>
      </c>
      <c r="K237" s="3">
        <v>4</v>
      </c>
      <c r="L237" s="2">
        <v>16</v>
      </c>
      <c r="M237" s="2">
        <v>7.5</v>
      </c>
      <c r="N237" s="53">
        <v>4.5</v>
      </c>
      <c r="O237" s="19">
        <f t="shared" si="7"/>
        <v>1</v>
      </c>
    </row>
    <row r="238" spans="1:15" x14ac:dyDescent="0.25">
      <c r="A238" s="51"/>
      <c r="B238" s="41"/>
      <c r="C238" t="s">
        <v>488</v>
      </c>
      <c r="D238" t="s">
        <v>181</v>
      </c>
      <c r="E238" s="3">
        <f t="shared" si="6"/>
        <v>4</v>
      </c>
      <c r="F238" s="2" t="s">
        <v>1508</v>
      </c>
      <c r="G238" s="3">
        <v>4</v>
      </c>
      <c r="H238" s="2">
        <v>31.57</v>
      </c>
      <c r="I238" s="2">
        <v>23.07</v>
      </c>
      <c r="J238" s="2">
        <v>20.07</v>
      </c>
      <c r="K238" s="3">
        <v>4</v>
      </c>
      <c r="L238" s="2">
        <v>16</v>
      </c>
      <c r="M238" s="2">
        <v>7.5</v>
      </c>
      <c r="N238" s="53">
        <v>4.5</v>
      </c>
      <c r="O238" s="19">
        <f t="shared" si="7"/>
        <v>1</v>
      </c>
    </row>
    <row r="239" spans="1:15" x14ac:dyDescent="0.25">
      <c r="A239" s="51"/>
      <c r="B239" s="41"/>
      <c r="C239" t="s">
        <v>489</v>
      </c>
      <c r="D239" t="s">
        <v>181</v>
      </c>
      <c r="E239" s="3">
        <f t="shared" si="6"/>
        <v>4</v>
      </c>
      <c r="F239" s="2" t="s">
        <v>1508</v>
      </c>
      <c r="G239" s="3">
        <v>4</v>
      </c>
      <c r="H239" s="2">
        <v>31.57</v>
      </c>
      <c r="I239" s="2">
        <v>23.07</v>
      </c>
      <c r="J239" s="2">
        <v>20.07</v>
      </c>
      <c r="K239" s="3">
        <v>4</v>
      </c>
      <c r="L239" s="2">
        <v>16</v>
      </c>
      <c r="M239" s="2">
        <v>7.5</v>
      </c>
      <c r="N239" s="53">
        <v>4.5</v>
      </c>
      <c r="O239" s="19">
        <f t="shared" si="7"/>
        <v>1</v>
      </c>
    </row>
    <row r="240" spans="1:15" x14ac:dyDescent="0.25">
      <c r="A240" s="51"/>
      <c r="B240" s="41"/>
      <c r="C240" t="s">
        <v>490</v>
      </c>
      <c r="D240" t="s">
        <v>181</v>
      </c>
      <c r="E240" s="3">
        <f t="shared" si="6"/>
        <v>4</v>
      </c>
      <c r="F240" s="2" t="s">
        <v>1508</v>
      </c>
      <c r="G240" s="3">
        <v>4</v>
      </c>
      <c r="H240" s="2">
        <v>31.57</v>
      </c>
      <c r="I240" s="2">
        <v>23.07</v>
      </c>
      <c r="J240" s="2">
        <v>20.07</v>
      </c>
      <c r="K240" s="3">
        <v>4</v>
      </c>
      <c r="L240" s="2">
        <v>16</v>
      </c>
      <c r="M240" s="2">
        <v>7.5</v>
      </c>
      <c r="N240" s="53">
        <v>4.5</v>
      </c>
      <c r="O240" s="19">
        <f t="shared" si="7"/>
        <v>1</v>
      </c>
    </row>
    <row r="241" spans="1:15" x14ac:dyDescent="0.25">
      <c r="A241" s="52"/>
      <c r="B241" s="42"/>
      <c r="C241" s="10" t="s">
        <v>491</v>
      </c>
      <c r="D241" s="10" t="s">
        <v>181</v>
      </c>
      <c r="E241" s="11">
        <f t="shared" si="6"/>
        <v>4</v>
      </c>
      <c r="F241" s="12" t="s">
        <v>1508</v>
      </c>
      <c r="G241" s="11">
        <v>4</v>
      </c>
      <c r="H241" s="12">
        <v>31.57</v>
      </c>
      <c r="I241" s="12">
        <v>23.07</v>
      </c>
      <c r="J241" s="12">
        <v>20.07</v>
      </c>
      <c r="K241" s="11">
        <v>4</v>
      </c>
      <c r="L241" s="12">
        <v>16</v>
      </c>
      <c r="M241" s="12">
        <v>7.5</v>
      </c>
      <c r="N241" s="12">
        <v>4.5</v>
      </c>
      <c r="O241" s="20">
        <f t="shared" si="7"/>
        <v>1</v>
      </c>
    </row>
  </sheetData>
  <autoFilter ref="A1:O241" xr:uid="{E9F89A84-4B39-4872-8C1E-2AA6813F490F}"/>
  <mergeCells count="278">
    <mergeCell ref="S103:T103"/>
    <mergeCell ref="U103:V103"/>
    <mergeCell ref="W103:X103"/>
    <mergeCell ref="S104:T104"/>
    <mergeCell ref="U104:V104"/>
    <mergeCell ref="W104:X104"/>
    <mergeCell ref="S100:T100"/>
    <mergeCell ref="U100:V100"/>
    <mergeCell ref="W100:X100"/>
    <mergeCell ref="S101:T101"/>
    <mergeCell ref="U101:V101"/>
    <mergeCell ref="W101:X101"/>
    <mergeCell ref="S102:T102"/>
    <mergeCell ref="U102:V102"/>
    <mergeCell ref="W102:X102"/>
    <mergeCell ref="S98:T98"/>
    <mergeCell ref="U98:V98"/>
    <mergeCell ref="W98:X98"/>
    <mergeCell ref="S96:T96"/>
    <mergeCell ref="U96:V96"/>
    <mergeCell ref="W96:X96"/>
    <mergeCell ref="S97:T97"/>
    <mergeCell ref="U97:V97"/>
    <mergeCell ref="W97:X97"/>
    <mergeCell ref="B102:B121"/>
    <mergeCell ref="A122:A181"/>
    <mergeCell ref="B122:B141"/>
    <mergeCell ref="B142:B161"/>
    <mergeCell ref="B162:B181"/>
    <mergeCell ref="A182:A241"/>
    <mergeCell ref="B182:B201"/>
    <mergeCell ref="B202:B221"/>
    <mergeCell ref="B222:B241"/>
    <mergeCell ref="A62:A121"/>
    <mergeCell ref="B62:B81"/>
    <mergeCell ref="S95:T95"/>
    <mergeCell ref="U95:V95"/>
    <mergeCell ref="W95:X95"/>
    <mergeCell ref="B82:B101"/>
    <mergeCell ref="S88:T88"/>
    <mergeCell ref="U88:V88"/>
    <mergeCell ref="W88:X88"/>
    <mergeCell ref="S89:T89"/>
    <mergeCell ref="U89:V89"/>
    <mergeCell ref="W89:X89"/>
    <mergeCell ref="S93:T93"/>
    <mergeCell ref="U93:V93"/>
    <mergeCell ref="U82:V82"/>
    <mergeCell ref="W82:X82"/>
    <mergeCell ref="S83:T83"/>
    <mergeCell ref="U83:V83"/>
    <mergeCell ref="W83:X83"/>
    <mergeCell ref="S87:T87"/>
    <mergeCell ref="S84:T84"/>
    <mergeCell ref="U84:V84"/>
    <mergeCell ref="W84:X84"/>
    <mergeCell ref="S91:T91"/>
    <mergeCell ref="U91:V91"/>
    <mergeCell ref="W91:X91"/>
    <mergeCell ref="S81:T81"/>
    <mergeCell ref="U81:V81"/>
    <mergeCell ref="W81:X81"/>
    <mergeCell ref="S82:T82"/>
    <mergeCell ref="Q81:Q86"/>
    <mergeCell ref="W93:X93"/>
    <mergeCell ref="S94:T94"/>
    <mergeCell ref="U94:V94"/>
    <mergeCell ref="W94:X94"/>
    <mergeCell ref="S92:T92"/>
    <mergeCell ref="U92:V92"/>
    <mergeCell ref="W92:X92"/>
    <mergeCell ref="U85:V85"/>
    <mergeCell ref="W85:X85"/>
    <mergeCell ref="S86:T86"/>
    <mergeCell ref="U86:V86"/>
    <mergeCell ref="W86:X86"/>
    <mergeCell ref="S90:T90"/>
    <mergeCell ref="U90:V90"/>
    <mergeCell ref="W90:X90"/>
    <mergeCell ref="U87:V87"/>
    <mergeCell ref="W87:X87"/>
    <mergeCell ref="S85:T85"/>
    <mergeCell ref="Q87:Q92"/>
    <mergeCell ref="S74:T74"/>
    <mergeCell ref="U74:V74"/>
    <mergeCell ref="W74:X74"/>
    <mergeCell ref="S75:T75"/>
    <mergeCell ref="U75:V75"/>
    <mergeCell ref="W75:X75"/>
    <mergeCell ref="S76:T76"/>
    <mergeCell ref="Q75:Q80"/>
    <mergeCell ref="U76:V76"/>
    <mergeCell ref="W76:X76"/>
    <mergeCell ref="S77:T77"/>
    <mergeCell ref="U77:V77"/>
    <mergeCell ref="W77:X77"/>
    <mergeCell ref="S80:T80"/>
    <mergeCell ref="U80:V80"/>
    <mergeCell ref="W80:X80"/>
    <mergeCell ref="S78:T78"/>
    <mergeCell ref="U78:V78"/>
    <mergeCell ref="W78:X78"/>
    <mergeCell ref="S79:T79"/>
    <mergeCell ref="U79:V79"/>
    <mergeCell ref="W79:X79"/>
    <mergeCell ref="Q70:Q72"/>
    <mergeCell ref="S70:T70"/>
    <mergeCell ref="U70:V70"/>
    <mergeCell ref="W70:X70"/>
    <mergeCell ref="S71:T71"/>
    <mergeCell ref="U71:V71"/>
    <mergeCell ref="W71:X71"/>
    <mergeCell ref="S72:T72"/>
    <mergeCell ref="U72:V72"/>
    <mergeCell ref="W72:X72"/>
    <mergeCell ref="Q67:Q69"/>
    <mergeCell ref="S67:T67"/>
    <mergeCell ref="U67:V67"/>
    <mergeCell ref="W67:X67"/>
    <mergeCell ref="S68:T68"/>
    <mergeCell ref="U68:V68"/>
    <mergeCell ref="W68:X68"/>
    <mergeCell ref="S69:T69"/>
    <mergeCell ref="U69:V69"/>
    <mergeCell ref="W69:X69"/>
    <mergeCell ref="U63:V63"/>
    <mergeCell ref="W63:X63"/>
    <mergeCell ref="Q64:Q66"/>
    <mergeCell ref="S64:T64"/>
    <mergeCell ref="U64:V64"/>
    <mergeCell ref="W64:X64"/>
    <mergeCell ref="S65:T65"/>
    <mergeCell ref="U65:V65"/>
    <mergeCell ref="W65:X65"/>
    <mergeCell ref="S66:T66"/>
    <mergeCell ref="Q61:Q63"/>
    <mergeCell ref="S61:T61"/>
    <mergeCell ref="U61:V61"/>
    <mergeCell ref="W61:X61"/>
    <mergeCell ref="S62:T62"/>
    <mergeCell ref="U62:V62"/>
    <mergeCell ref="W62:X62"/>
    <mergeCell ref="S63:T63"/>
    <mergeCell ref="U66:V66"/>
    <mergeCell ref="W66:X66"/>
    <mergeCell ref="S57:T57"/>
    <mergeCell ref="U57:V57"/>
    <mergeCell ref="W57:X57"/>
    <mergeCell ref="R59:X59"/>
    <mergeCell ref="S60:T60"/>
    <mergeCell ref="U60:V60"/>
    <mergeCell ref="W60:X60"/>
    <mergeCell ref="S55:T55"/>
    <mergeCell ref="U55:V55"/>
    <mergeCell ref="W55:X55"/>
    <mergeCell ref="S56:T56"/>
    <mergeCell ref="U56:V56"/>
    <mergeCell ref="W56:X56"/>
    <mergeCell ref="U53:V53"/>
    <mergeCell ref="W53:X53"/>
    <mergeCell ref="S54:T54"/>
    <mergeCell ref="U54:V54"/>
    <mergeCell ref="W54:X54"/>
    <mergeCell ref="S51:T51"/>
    <mergeCell ref="U51:V51"/>
    <mergeCell ref="W51:X51"/>
    <mergeCell ref="S52:T52"/>
    <mergeCell ref="U52:V52"/>
    <mergeCell ref="W52:X52"/>
    <mergeCell ref="B42:B61"/>
    <mergeCell ref="S42:T42"/>
    <mergeCell ref="U42:V42"/>
    <mergeCell ref="W42:X42"/>
    <mergeCell ref="S43:T43"/>
    <mergeCell ref="U43:V43"/>
    <mergeCell ref="W43:X43"/>
    <mergeCell ref="S44:T44"/>
    <mergeCell ref="U44:V44"/>
    <mergeCell ref="W44:X44"/>
    <mergeCell ref="S49:T49"/>
    <mergeCell ref="U49:V49"/>
    <mergeCell ref="W49:X49"/>
    <mergeCell ref="S50:T50"/>
    <mergeCell ref="U50:V50"/>
    <mergeCell ref="W50:X50"/>
    <mergeCell ref="S45:T45"/>
    <mergeCell ref="U45:V45"/>
    <mergeCell ref="W45:X45"/>
    <mergeCell ref="R47:X47"/>
    <mergeCell ref="S48:T48"/>
    <mergeCell ref="U48:V48"/>
    <mergeCell ref="W48:X48"/>
    <mergeCell ref="S53:T53"/>
    <mergeCell ref="S40:T40"/>
    <mergeCell ref="U40:V40"/>
    <mergeCell ref="W40:X40"/>
    <mergeCell ref="S41:T41"/>
    <mergeCell ref="U41:V41"/>
    <mergeCell ref="W41:X41"/>
    <mergeCell ref="S38:T38"/>
    <mergeCell ref="U38:V38"/>
    <mergeCell ref="W38:X38"/>
    <mergeCell ref="S39:T39"/>
    <mergeCell ref="U39:V39"/>
    <mergeCell ref="W39:X39"/>
    <mergeCell ref="R35:X35"/>
    <mergeCell ref="S36:T36"/>
    <mergeCell ref="U36:V36"/>
    <mergeCell ref="W36:X36"/>
    <mergeCell ref="S37:T37"/>
    <mergeCell ref="U37:V37"/>
    <mergeCell ref="W37:X37"/>
    <mergeCell ref="S32:T32"/>
    <mergeCell ref="U32:V32"/>
    <mergeCell ref="W32:X32"/>
    <mergeCell ref="S33:T33"/>
    <mergeCell ref="U33:V33"/>
    <mergeCell ref="W33:X33"/>
    <mergeCell ref="S30:T30"/>
    <mergeCell ref="U30:V30"/>
    <mergeCell ref="W30:X30"/>
    <mergeCell ref="S31:T31"/>
    <mergeCell ref="U31:V31"/>
    <mergeCell ref="W31:X31"/>
    <mergeCell ref="S28:T28"/>
    <mergeCell ref="U28:V28"/>
    <mergeCell ref="W28:X28"/>
    <mergeCell ref="S29:T29"/>
    <mergeCell ref="U29:V29"/>
    <mergeCell ref="W29:X29"/>
    <mergeCell ref="W16:X16"/>
    <mergeCell ref="B22:B41"/>
    <mergeCell ref="R23:X23"/>
    <mergeCell ref="S24:T24"/>
    <mergeCell ref="U24:V24"/>
    <mergeCell ref="W24:X24"/>
    <mergeCell ref="S25:T25"/>
    <mergeCell ref="U25:V25"/>
    <mergeCell ref="S19:T19"/>
    <mergeCell ref="U19:V19"/>
    <mergeCell ref="W19:X19"/>
    <mergeCell ref="S20:T20"/>
    <mergeCell ref="U20:V20"/>
    <mergeCell ref="W20:X20"/>
    <mergeCell ref="W25:X25"/>
    <mergeCell ref="S26:T26"/>
    <mergeCell ref="U26:V26"/>
    <mergeCell ref="W26:X26"/>
    <mergeCell ref="S27:T27"/>
    <mergeCell ref="U27:V27"/>
    <mergeCell ref="W27:X27"/>
    <mergeCell ref="S21:T21"/>
    <mergeCell ref="U21:V21"/>
    <mergeCell ref="W21:X21"/>
    <mergeCell ref="Q93:Q98"/>
    <mergeCell ref="A2:A61"/>
    <mergeCell ref="B2:B21"/>
    <mergeCell ref="R11:X11"/>
    <mergeCell ref="S12:T12"/>
    <mergeCell ref="U12:V12"/>
    <mergeCell ref="W12:X12"/>
    <mergeCell ref="S13:T13"/>
    <mergeCell ref="U13:V13"/>
    <mergeCell ref="W13:X13"/>
    <mergeCell ref="S14:T14"/>
    <mergeCell ref="S17:T17"/>
    <mergeCell ref="U17:V17"/>
    <mergeCell ref="W17:X17"/>
    <mergeCell ref="S18:T18"/>
    <mergeCell ref="U18:V18"/>
    <mergeCell ref="W18:X18"/>
    <mergeCell ref="U14:V14"/>
    <mergeCell ref="W14:X14"/>
    <mergeCell ref="S15:T15"/>
    <mergeCell ref="U15:V15"/>
    <mergeCell ref="W15:X15"/>
    <mergeCell ref="S16:T16"/>
    <mergeCell ref="U16:V1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5A45C-8983-4684-85ED-3E6D97940099}">
  <dimension ref="A1:X241"/>
  <sheetViews>
    <sheetView showGridLines="0" topLeftCell="A34" zoomScale="95" zoomScaleNormal="95" workbookViewId="0">
      <selection activeCell="M27" sqref="M27"/>
    </sheetView>
  </sheetViews>
  <sheetFormatPr defaultRowHeight="15" x14ac:dyDescent="0.25"/>
  <cols>
    <col min="2" max="2" width="4.140625" bestFit="1" customWidth="1"/>
    <col min="3" max="3" width="21" bestFit="1" customWidth="1"/>
    <col min="4" max="5" width="11.7109375" customWidth="1"/>
    <col min="7" max="7" width="14.42578125" bestFit="1" customWidth="1"/>
    <col min="8" max="8" width="16.7109375" bestFit="1" customWidth="1"/>
    <col min="9" max="9" width="14.7109375" bestFit="1" customWidth="1"/>
    <col min="10" max="10" width="15.7109375" bestFit="1" customWidth="1"/>
    <col min="11" max="11" width="12.7109375" bestFit="1" customWidth="1"/>
    <col min="12" max="12" width="15.140625" bestFit="1" customWidth="1"/>
    <col min="13" max="13" width="13.140625" bestFit="1" customWidth="1"/>
    <col min="14" max="14" width="14.140625" bestFit="1" customWidth="1"/>
    <col min="15" max="15" width="14.140625" customWidth="1"/>
    <col min="18" max="18" width="15.85546875" bestFit="1" customWidth="1"/>
  </cols>
  <sheetData>
    <row r="1" spans="1:24" x14ac:dyDescent="0.25">
      <c r="C1" t="s">
        <v>8</v>
      </c>
      <c r="D1" t="s">
        <v>9</v>
      </c>
      <c r="E1" t="s">
        <v>1487</v>
      </c>
      <c r="F1" t="s">
        <v>1509</v>
      </c>
      <c r="G1" t="s">
        <v>1452</v>
      </c>
      <c r="H1" t="s">
        <v>1454</v>
      </c>
      <c r="I1" t="s">
        <v>1456</v>
      </c>
      <c r="J1" t="s">
        <v>1457</v>
      </c>
      <c r="K1" t="s">
        <v>1512</v>
      </c>
      <c r="L1" t="s">
        <v>1455</v>
      </c>
      <c r="M1" t="s">
        <v>1458</v>
      </c>
      <c r="N1" t="s">
        <v>1459</v>
      </c>
      <c r="O1" t="s">
        <v>1510</v>
      </c>
    </row>
    <row r="2" spans="1:24" x14ac:dyDescent="0.25">
      <c r="A2" s="39" t="s">
        <v>0</v>
      </c>
      <c r="B2" s="40" t="s">
        <v>4</v>
      </c>
      <c r="C2" s="7" t="s">
        <v>492</v>
      </c>
      <c r="D2" s="7" t="s">
        <v>271</v>
      </c>
      <c r="E2" s="8">
        <f>IF(D2="Muito Fraca", 1, IF(D2="Fraca", 2, IF(D2="Média", 3, 4)))</f>
        <v>2</v>
      </c>
      <c r="F2" s="7">
        <v>37.6</v>
      </c>
      <c r="G2" s="7">
        <v>4</v>
      </c>
      <c r="H2" s="7">
        <v>11.32</v>
      </c>
      <c r="I2" s="7">
        <v>2.82</v>
      </c>
      <c r="J2" s="7">
        <v>-0.18</v>
      </c>
      <c r="K2" s="7">
        <v>2</v>
      </c>
      <c r="L2" s="7">
        <v>8</v>
      </c>
      <c r="M2" s="7">
        <v>-0.5</v>
      </c>
      <c r="N2" s="7">
        <v>-3.5</v>
      </c>
      <c r="O2" s="18">
        <f>E2/K2</f>
        <v>1</v>
      </c>
    </row>
    <row r="3" spans="1:24" x14ac:dyDescent="0.25">
      <c r="A3" s="39"/>
      <c r="B3" s="41"/>
      <c r="C3" t="s">
        <v>493</v>
      </c>
      <c r="D3" t="s">
        <v>271</v>
      </c>
      <c r="E3" s="3">
        <f>IF(D3="Muito Fraca", 1, IF(D3="Fraca", 2, IF(D3="Média", 3, 4)))</f>
        <v>2</v>
      </c>
      <c r="F3">
        <v>37.6</v>
      </c>
      <c r="G3">
        <v>4</v>
      </c>
      <c r="H3">
        <v>11.32</v>
      </c>
      <c r="I3">
        <v>2.82</v>
      </c>
      <c r="J3">
        <v>-0.18</v>
      </c>
      <c r="K3">
        <v>2</v>
      </c>
      <c r="L3">
        <v>8</v>
      </c>
      <c r="M3">
        <v>-0.5</v>
      </c>
      <c r="N3">
        <v>-3.5</v>
      </c>
      <c r="O3" s="19">
        <f t="shared" ref="O3:O66" si="0">E3/K3</f>
        <v>1</v>
      </c>
    </row>
    <row r="4" spans="1:24" x14ac:dyDescent="0.25">
      <c r="A4" s="39"/>
      <c r="B4" s="41"/>
      <c r="C4" t="s">
        <v>494</v>
      </c>
      <c r="D4" t="s">
        <v>271</v>
      </c>
      <c r="E4" s="3">
        <f t="shared" ref="E4:E67" si="1">IF(D4="Muito Fraca", 1, IF(D4="Fraca", 2, IF(D4="Média", 3, 4)))</f>
        <v>2</v>
      </c>
      <c r="F4">
        <v>37.6</v>
      </c>
      <c r="G4">
        <v>4</v>
      </c>
      <c r="H4">
        <v>11.32</v>
      </c>
      <c r="I4">
        <v>2.82</v>
      </c>
      <c r="J4">
        <v>-0.18</v>
      </c>
      <c r="K4">
        <v>2</v>
      </c>
      <c r="L4">
        <v>8</v>
      </c>
      <c r="M4">
        <v>-0.5</v>
      </c>
      <c r="N4">
        <v>-3.5</v>
      </c>
      <c r="O4" s="19">
        <f t="shared" si="0"/>
        <v>1</v>
      </c>
    </row>
    <row r="5" spans="1:24" x14ac:dyDescent="0.25">
      <c r="A5" s="39"/>
      <c r="B5" s="41"/>
      <c r="C5" t="s">
        <v>495</v>
      </c>
      <c r="D5" t="s">
        <v>271</v>
      </c>
      <c r="E5" s="3">
        <f t="shared" si="1"/>
        <v>2</v>
      </c>
      <c r="F5">
        <v>37.6</v>
      </c>
      <c r="G5">
        <v>4</v>
      </c>
      <c r="H5">
        <v>11.32</v>
      </c>
      <c r="I5">
        <v>2.82</v>
      </c>
      <c r="J5">
        <v>-0.18</v>
      </c>
      <c r="K5">
        <v>2</v>
      </c>
      <c r="L5">
        <v>8</v>
      </c>
      <c r="M5">
        <v>-0.5</v>
      </c>
      <c r="N5">
        <v>-3.5</v>
      </c>
      <c r="O5" s="19">
        <f t="shared" si="0"/>
        <v>1</v>
      </c>
    </row>
    <row r="6" spans="1:24" x14ac:dyDescent="0.25">
      <c r="A6" s="39"/>
      <c r="B6" s="41"/>
      <c r="C6" t="s">
        <v>496</v>
      </c>
      <c r="D6" t="s">
        <v>271</v>
      </c>
      <c r="E6" s="3">
        <f t="shared" si="1"/>
        <v>2</v>
      </c>
      <c r="F6">
        <v>37.6</v>
      </c>
      <c r="G6">
        <v>4</v>
      </c>
      <c r="H6">
        <v>11.32</v>
      </c>
      <c r="I6">
        <v>2.82</v>
      </c>
      <c r="J6">
        <v>-0.18</v>
      </c>
      <c r="K6">
        <v>2</v>
      </c>
      <c r="L6">
        <v>8</v>
      </c>
      <c r="M6">
        <v>-0.5</v>
      </c>
      <c r="N6">
        <v>-3.5</v>
      </c>
      <c r="O6" s="19">
        <f t="shared" si="0"/>
        <v>1</v>
      </c>
    </row>
    <row r="7" spans="1:24" x14ac:dyDescent="0.25">
      <c r="A7" s="39"/>
      <c r="B7" s="41"/>
      <c r="C7" t="s">
        <v>497</v>
      </c>
      <c r="D7" t="s">
        <v>271</v>
      </c>
      <c r="E7" s="3">
        <f t="shared" si="1"/>
        <v>2</v>
      </c>
      <c r="F7">
        <v>37.6</v>
      </c>
      <c r="G7">
        <v>4</v>
      </c>
      <c r="H7">
        <v>11.32</v>
      </c>
      <c r="I7">
        <v>2.82</v>
      </c>
      <c r="J7">
        <v>-0.18</v>
      </c>
      <c r="K7">
        <v>2</v>
      </c>
      <c r="L7">
        <v>8</v>
      </c>
      <c r="M7">
        <v>-0.5</v>
      </c>
      <c r="N7">
        <v>-3.5</v>
      </c>
      <c r="O7" s="19">
        <f t="shared" si="0"/>
        <v>1</v>
      </c>
    </row>
    <row r="8" spans="1:24" x14ac:dyDescent="0.25">
      <c r="A8" s="39"/>
      <c r="B8" s="41"/>
      <c r="C8" t="s">
        <v>498</v>
      </c>
      <c r="D8" t="s">
        <v>271</v>
      </c>
      <c r="E8" s="3">
        <f t="shared" si="1"/>
        <v>2</v>
      </c>
      <c r="F8">
        <v>37.6</v>
      </c>
      <c r="G8">
        <v>4</v>
      </c>
      <c r="H8">
        <v>11.32</v>
      </c>
      <c r="I8">
        <v>2.82</v>
      </c>
      <c r="J8">
        <v>-0.18</v>
      </c>
      <c r="K8">
        <v>2</v>
      </c>
      <c r="L8">
        <v>8</v>
      </c>
      <c r="M8">
        <v>-0.5</v>
      </c>
      <c r="N8">
        <v>-3.5</v>
      </c>
      <c r="O8" s="19">
        <f t="shared" si="0"/>
        <v>1</v>
      </c>
    </row>
    <row r="9" spans="1:24" x14ac:dyDescent="0.25">
      <c r="A9" s="39"/>
      <c r="B9" s="41"/>
      <c r="C9" t="s">
        <v>499</v>
      </c>
      <c r="D9" t="s">
        <v>271</v>
      </c>
      <c r="E9" s="3">
        <f t="shared" si="1"/>
        <v>2</v>
      </c>
      <c r="F9">
        <v>37.6</v>
      </c>
      <c r="G9">
        <v>4</v>
      </c>
      <c r="H9">
        <v>11.32</v>
      </c>
      <c r="I9">
        <v>2.82</v>
      </c>
      <c r="J9">
        <v>-0.18</v>
      </c>
      <c r="K9">
        <v>2</v>
      </c>
      <c r="L9">
        <v>8</v>
      </c>
      <c r="M9">
        <v>-0.5</v>
      </c>
      <c r="N9">
        <v>-3.5</v>
      </c>
      <c r="O9" s="19">
        <f t="shared" si="0"/>
        <v>1</v>
      </c>
    </row>
    <row r="10" spans="1:24" x14ac:dyDescent="0.25">
      <c r="A10" s="39"/>
      <c r="B10" s="41"/>
      <c r="C10" t="s">
        <v>500</v>
      </c>
      <c r="D10" t="s">
        <v>271</v>
      </c>
      <c r="E10" s="3">
        <f t="shared" si="1"/>
        <v>2</v>
      </c>
      <c r="F10">
        <v>37.6</v>
      </c>
      <c r="G10">
        <v>4</v>
      </c>
      <c r="H10">
        <v>11.32</v>
      </c>
      <c r="I10">
        <v>2.82</v>
      </c>
      <c r="J10">
        <v>-0.18</v>
      </c>
      <c r="K10">
        <v>2</v>
      </c>
      <c r="L10">
        <v>8</v>
      </c>
      <c r="M10">
        <v>-0.5</v>
      </c>
      <c r="N10">
        <v>-3.5</v>
      </c>
      <c r="O10" s="19">
        <f t="shared" si="0"/>
        <v>1</v>
      </c>
    </row>
    <row r="11" spans="1:24" x14ac:dyDescent="0.25">
      <c r="A11" s="39"/>
      <c r="B11" s="41"/>
      <c r="C11" t="s">
        <v>501</v>
      </c>
      <c r="D11" t="s">
        <v>271</v>
      </c>
      <c r="E11" s="3">
        <f t="shared" si="1"/>
        <v>2</v>
      </c>
      <c r="F11">
        <v>37.6</v>
      </c>
      <c r="G11">
        <v>4</v>
      </c>
      <c r="H11">
        <v>11.32</v>
      </c>
      <c r="I11">
        <v>2.82</v>
      </c>
      <c r="J11">
        <v>-0.18</v>
      </c>
      <c r="K11">
        <v>2</v>
      </c>
      <c r="L11">
        <v>8</v>
      </c>
      <c r="M11">
        <v>-0.5</v>
      </c>
      <c r="N11">
        <v>-3.5</v>
      </c>
      <c r="O11" s="19">
        <f t="shared" si="0"/>
        <v>1</v>
      </c>
      <c r="R11" s="37" t="s">
        <v>0</v>
      </c>
      <c r="S11" s="38"/>
      <c r="T11" s="38"/>
      <c r="U11" s="38"/>
      <c r="V11" s="38"/>
      <c r="W11" s="38"/>
      <c r="X11" s="26"/>
    </row>
    <row r="12" spans="1:24" x14ac:dyDescent="0.25">
      <c r="A12" s="39"/>
      <c r="B12" s="41"/>
      <c r="C12" t="s">
        <v>502</v>
      </c>
      <c r="D12" t="s">
        <v>271</v>
      </c>
      <c r="E12" s="3">
        <f t="shared" si="1"/>
        <v>2</v>
      </c>
      <c r="F12">
        <v>37.6</v>
      </c>
      <c r="G12">
        <v>4</v>
      </c>
      <c r="H12">
        <v>11.32</v>
      </c>
      <c r="I12">
        <v>2.82</v>
      </c>
      <c r="J12">
        <v>-0.18</v>
      </c>
      <c r="K12">
        <v>2</v>
      </c>
      <c r="L12">
        <v>8</v>
      </c>
      <c r="M12">
        <v>-0.5</v>
      </c>
      <c r="N12">
        <v>-3.5</v>
      </c>
      <c r="O12" s="19">
        <f t="shared" si="0"/>
        <v>1</v>
      </c>
      <c r="R12" s="1"/>
      <c r="S12" s="30" t="s">
        <v>1460</v>
      </c>
      <c r="T12" s="30"/>
      <c r="U12" s="30" t="s">
        <v>1461</v>
      </c>
      <c r="V12" s="30"/>
      <c r="W12" s="30" t="s">
        <v>1462</v>
      </c>
      <c r="X12" s="30"/>
    </row>
    <row r="13" spans="1:24" x14ac:dyDescent="0.25">
      <c r="A13" s="39"/>
      <c r="B13" s="41"/>
      <c r="C13" t="s">
        <v>503</v>
      </c>
      <c r="D13" t="s">
        <v>271</v>
      </c>
      <c r="E13" s="3">
        <f t="shared" si="1"/>
        <v>2</v>
      </c>
      <c r="F13">
        <v>37.6</v>
      </c>
      <c r="G13">
        <v>4</v>
      </c>
      <c r="H13">
        <v>11.32</v>
      </c>
      <c r="I13">
        <v>2.82</v>
      </c>
      <c r="J13">
        <v>-0.18</v>
      </c>
      <c r="K13">
        <v>2</v>
      </c>
      <c r="L13">
        <v>8</v>
      </c>
      <c r="M13">
        <v>-0.5</v>
      </c>
      <c r="N13">
        <v>-3.5</v>
      </c>
      <c r="O13" s="19">
        <f t="shared" si="0"/>
        <v>1</v>
      </c>
      <c r="R13" s="1" t="s">
        <v>1488</v>
      </c>
      <c r="S13" s="35">
        <f>AVERAGE(E$2:E$21)</f>
        <v>2</v>
      </c>
      <c r="T13" s="36"/>
      <c r="U13" s="35">
        <f>AVERAGE(E$22:E$41)</f>
        <v>3</v>
      </c>
      <c r="V13" s="26"/>
      <c r="W13" s="35">
        <f>AVERAGE(E$42:E$61)</f>
        <v>3</v>
      </c>
      <c r="X13" s="26"/>
    </row>
    <row r="14" spans="1:24" x14ac:dyDescent="0.25">
      <c r="A14" s="39"/>
      <c r="B14" s="41"/>
      <c r="C14" t="s">
        <v>504</v>
      </c>
      <c r="D14" t="s">
        <v>271</v>
      </c>
      <c r="E14" s="3">
        <f t="shared" si="1"/>
        <v>2</v>
      </c>
      <c r="F14">
        <v>37.6</v>
      </c>
      <c r="G14">
        <v>4</v>
      </c>
      <c r="H14">
        <v>11.32</v>
      </c>
      <c r="I14">
        <v>2.82</v>
      </c>
      <c r="J14">
        <v>-0.18</v>
      </c>
      <c r="K14">
        <v>2</v>
      </c>
      <c r="L14">
        <v>7.94</v>
      </c>
      <c r="M14">
        <v>-0.56000000000000005</v>
      </c>
      <c r="N14">
        <v>-3.56</v>
      </c>
      <c r="O14" s="19">
        <f t="shared" si="0"/>
        <v>1</v>
      </c>
      <c r="R14" s="1" t="s">
        <v>1463</v>
      </c>
      <c r="S14" s="35">
        <f>AVERAGE(G$2:G$21)</f>
        <v>4</v>
      </c>
      <c r="T14" s="26"/>
      <c r="U14" s="35">
        <f>AVERAGE(G$22:G$41)</f>
        <v>4</v>
      </c>
      <c r="V14" s="26"/>
      <c r="W14" s="35">
        <f>AVERAGE(G$42:G$61)</f>
        <v>4</v>
      </c>
      <c r="X14" s="26"/>
    </row>
    <row r="15" spans="1:24" x14ac:dyDescent="0.25">
      <c r="A15" s="39"/>
      <c r="B15" s="41"/>
      <c r="C15" t="s">
        <v>505</v>
      </c>
      <c r="D15" t="s">
        <v>271</v>
      </c>
      <c r="E15" s="3">
        <f t="shared" si="1"/>
        <v>2</v>
      </c>
      <c r="F15">
        <v>37.6</v>
      </c>
      <c r="G15">
        <v>4</v>
      </c>
      <c r="H15">
        <v>11.32</v>
      </c>
      <c r="I15">
        <v>2.82</v>
      </c>
      <c r="J15">
        <v>-0.18</v>
      </c>
      <c r="K15">
        <v>2</v>
      </c>
      <c r="L15">
        <v>8</v>
      </c>
      <c r="M15">
        <v>-0.5</v>
      </c>
      <c r="N15">
        <v>-3.5</v>
      </c>
      <c r="O15" s="19">
        <f t="shared" si="0"/>
        <v>1</v>
      </c>
      <c r="R15" s="1" t="s">
        <v>1464</v>
      </c>
      <c r="S15" s="24">
        <f>AVERAGE(H$2:H$21)</f>
        <v>11.319999999999997</v>
      </c>
      <c r="T15" s="26"/>
      <c r="U15" s="24">
        <f>AVERAGE(H$22:H$41)</f>
        <v>16.98</v>
      </c>
      <c r="V15" s="25"/>
      <c r="W15" s="24">
        <f>AVERAGE(H$42:H$61)</f>
        <v>22.639999999999993</v>
      </c>
      <c r="X15" s="25"/>
    </row>
    <row r="16" spans="1:24" x14ac:dyDescent="0.25">
      <c r="A16" s="39"/>
      <c r="B16" s="41"/>
      <c r="C16" t="s">
        <v>506</v>
      </c>
      <c r="D16" t="s">
        <v>271</v>
      </c>
      <c r="E16" s="3">
        <f t="shared" si="1"/>
        <v>2</v>
      </c>
      <c r="F16">
        <v>37.6</v>
      </c>
      <c r="G16">
        <v>4</v>
      </c>
      <c r="H16">
        <v>11.32</v>
      </c>
      <c r="I16">
        <v>2.82</v>
      </c>
      <c r="J16">
        <v>-0.18</v>
      </c>
      <c r="K16">
        <v>2</v>
      </c>
      <c r="L16">
        <v>8</v>
      </c>
      <c r="M16">
        <v>-0.5</v>
      </c>
      <c r="N16">
        <v>-3.5</v>
      </c>
      <c r="O16" s="19">
        <f t="shared" si="0"/>
        <v>1</v>
      </c>
      <c r="R16" s="1" t="s">
        <v>1465</v>
      </c>
      <c r="S16" s="24">
        <f>AVERAGE(I$2:I$21)</f>
        <v>2.82</v>
      </c>
      <c r="T16" s="26"/>
      <c r="U16" s="24">
        <f>AVERAGE(I$22:I$41)</f>
        <v>8.48</v>
      </c>
      <c r="V16" s="25"/>
      <c r="W16" s="24">
        <f>AVERAGE(I$42:I$61)</f>
        <v>14.139999999999995</v>
      </c>
      <c r="X16" s="25"/>
    </row>
    <row r="17" spans="1:24" x14ac:dyDescent="0.25">
      <c r="A17" s="39"/>
      <c r="B17" s="41"/>
      <c r="C17" t="s">
        <v>507</v>
      </c>
      <c r="D17" t="s">
        <v>271</v>
      </c>
      <c r="E17" s="3">
        <f t="shared" si="1"/>
        <v>2</v>
      </c>
      <c r="F17">
        <v>37.6</v>
      </c>
      <c r="G17">
        <v>4</v>
      </c>
      <c r="H17">
        <v>11.32</v>
      </c>
      <c r="I17">
        <v>2.82</v>
      </c>
      <c r="J17">
        <v>-0.18</v>
      </c>
      <c r="K17">
        <v>2</v>
      </c>
      <c r="L17">
        <v>8</v>
      </c>
      <c r="M17">
        <v>-0.5</v>
      </c>
      <c r="N17">
        <v>-3.5</v>
      </c>
      <c r="O17" s="19">
        <f t="shared" si="0"/>
        <v>1</v>
      </c>
      <c r="R17" s="1" t="s">
        <v>1466</v>
      </c>
      <c r="S17" s="24">
        <f>AVERAGE(J$2:J$21)</f>
        <v>-0.18000000000000005</v>
      </c>
      <c r="T17" s="26"/>
      <c r="U17" s="24">
        <f>AVERAGE(J$22:J$41)</f>
        <v>5.4800000000000022</v>
      </c>
      <c r="V17" s="25"/>
      <c r="W17" s="24">
        <f>AVERAGE(J$42:J$61)</f>
        <v>11.139999999999995</v>
      </c>
      <c r="X17" s="25"/>
    </row>
    <row r="18" spans="1:24" x14ac:dyDescent="0.25">
      <c r="A18" s="39"/>
      <c r="B18" s="41"/>
      <c r="C18" t="s">
        <v>508</v>
      </c>
      <c r="D18" t="s">
        <v>271</v>
      </c>
      <c r="E18" s="3">
        <f t="shared" si="1"/>
        <v>2</v>
      </c>
      <c r="F18">
        <v>37.6</v>
      </c>
      <c r="G18">
        <v>4</v>
      </c>
      <c r="H18">
        <v>11.32</v>
      </c>
      <c r="I18">
        <v>2.82</v>
      </c>
      <c r="J18">
        <v>-0.18</v>
      </c>
      <c r="K18">
        <v>2</v>
      </c>
      <c r="L18">
        <v>8</v>
      </c>
      <c r="M18">
        <v>-0.5</v>
      </c>
      <c r="N18">
        <v>-3.5</v>
      </c>
      <c r="O18" s="19">
        <f t="shared" si="0"/>
        <v>1</v>
      </c>
      <c r="R18" s="1" t="s">
        <v>1512</v>
      </c>
      <c r="S18" s="35">
        <f>AVERAGE(K$2:K$21)</f>
        <v>2</v>
      </c>
      <c r="T18" s="26"/>
      <c r="U18" s="35">
        <f>AVERAGE(K$22:K$41)</f>
        <v>4</v>
      </c>
      <c r="V18" s="26"/>
      <c r="W18" s="35">
        <f>AVERAGE(K$42:K$61)</f>
        <v>4</v>
      </c>
      <c r="X18" s="26"/>
    </row>
    <row r="19" spans="1:24" x14ac:dyDescent="0.25">
      <c r="A19" s="39"/>
      <c r="B19" s="41"/>
      <c r="C19" t="s">
        <v>509</v>
      </c>
      <c r="D19" t="s">
        <v>271</v>
      </c>
      <c r="E19" s="3">
        <f t="shared" si="1"/>
        <v>2</v>
      </c>
      <c r="F19">
        <v>37.6</v>
      </c>
      <c r="G19">
        <v>4</v>
      </c>
      <c r="H19">
        <v>11.32</v>
      </c>
      <c r="I19">
        <v>2.82</v>
      </c>
      <c r="J19">
        <v>-0.18</v>
      </c>
      <c r="K19">
        <v>2</v>
      </c>
      <c r="L19">
        <v>8</v>
      </c>
      <c r="M19">
        <v>-0.5</v>
      </c>
      <c r="N19">
        <v>-3.5</v>
      </c>
      <c r="O19" s="19">
        <f t="shared" si="0"/>
        <v>1</v>
      </c>
      <c r="R19" s="1" t="s">
        <v>1493</v>
      </c>
      <c r="S19" s="24">
        <f>AVERAGE(L$2:L$21)</f>
        <v>7.9969999999999999</v>
      </c>
      <c r="T19" s="25"/>
      <c r="U19" s="24">
        <f>AVERAGE(L$22:L$41)</f>
        <v>11.909000000000001</v>
      </c>
      <c r="V19" s="25"/>
      <c r="W19" s="24">
        <f>AVERAGE(L$42:L$61)</f>
        <v>15.957999999999998</v>
      </c>
      <c r="X19" s="25"/>
    </row>
    <row r="20" spans="1:24" x14ac:dyDescent="0.25">
      <c r="A20" s="39"/>
      <c r="B20" s="41"/>
      <c r="C20" t="s">
        <v>510</v>
      </c>
      <c r="D20" t="s">
        <v>271</v>
      </c>
      <c r="E20" s="3">
        <f t="shared" si="1"/>
        <v>2</v>
      </c>
      <c r="F20">
        <v>37.6</v>
      </c>
      <c r="G20">
        <v>4</v>
      </c>
      <c r="H20">
        <v>11.32</v>
      </c>
      <c r="I20">
        <v>2.82</v>
      </c>
      <c r="J20">
        <v>-0.18</v>
      </c>
      <c r="K20">
        <v>2</v>
      </c>
      <c r="L20">
        <v>8</v>
      </c>
      <c r="M20">
        <v>-0.5</v>
      </c>
      <c r="N20">
        <v>-3.5</v>
      </c>
      <c r="O20" s="19">
        <f t="shared" si="0"/>
        <v>1</v>
      </c>
      <c r="R20" s="1" t="s">
        <v>1467</v>
      </c>
      <c r="S20" s="24">
        <f>AVERAGE(M$2:M$21)</f>
        <v>-0.503</v>
      </c>
      <c r="T20" s="25"/>
      <c r="U20" s="24">
        <f>AVERAGE(M$22:M$41)</f>
        <v>3.4095</v>
      </c>
      <c r="V20" s="25"/>
      <c r="W20" s="24">
        <f>AVERAGE(M$42:M$61)</f>
        <v>7.4580000000000002</v>
      </c>
      <c r="X20" s="25"/>
    </row>
    <row r="21" spans="1:24" x14ac:dyDescent="0.25">
      <c r="A21" s="39"/>
      <c r="B21" s="42"/>
      <c r="C21" s="10" t="s">
        <v>511</v>
      </c>
      <c r="D21" s="10" t="s">
        <v>271</v>
      </c>
      <c r="E21" s="11">
        <f t="shared" si="1"/>
        <v>2</v>
      </c>
      <c r="F21" s="10">
        <v>37.6</v>
      </c>
      <c r="G21" s="10">
        <v>4</v>
      </c>
      <c r="H21" s="10">
        <v>11.32</v>
      </c>
      <c r="I21" s="10">
        <v>2.82</v>
      </c>
      <c r="J21" s="10">
        <v>-0.18</v>
      </c>
      <c r="K21" s="10">
        <v>2</v>
      </c>
      <c r="L21" s="10">
        <v>8</v>
      </c>
      <c r="M21" s="10">
        <v>-0.5</v>
      </c>
      <c r="N21" s="10">
        <v>-3.5</v>
      </c>
      <c r="O21" s="20">
        <f t="shared" si="0"/>
        <v>1</v>
      </c>
      <c r="R21" s="1" t="s">
        <v>1468</v>
      </c>
      <c r="S21" s="24">
        <f>AVERAGE(N$2:N$21)</f>
        <v>-3.5030000000000001</v>
      </c>
      <c r="T21" s="25"/>
      <c r="U21" s="24">
        <f>AVERAGE(N$22:N$41)</f>
        <v>0.40949999999999998</v>
      </c>
      <c r="V21" s="25"/>
      <c r="W21" s="24">
        <f>AVERAGE(N$42:N$61)</f>
        <v>4.4580000000000002</v>
      </c>
      <c r="X21" s="25"/>
    </row>
    <row r="22" spans="1:24" x14ac:dyDescent="0.25">
      <c r="A22" s="39"/>
      <c r="B22" s="40" t="s">
        <v>6</v>
      </c>
      <c r="C22" s="7" t="s">
        <v>512</v>
      </c>
      <c r="D22" s="7" t="s">
        <v>51</v>
      </c>
      <c r="E22" s="3">
        <f t="shared" si="1"/>
        <v>3</v>
      </c>
      <c r="F22" s="7">
        <v>56.41</v>
      </c>
      <c r="G22" s="7">
        <v>4</v>
      </c>
      <c r="H22" s="7">
        <v>16.98</v>
      </c>
      <c r="I22" s="7">
        <v>8.48</v>
      </c>
      <c r="J22" s="7">
        <v>5.48</v>
      </c>
      <c r="K22" s="7">
        <v>4</v>
      </c>
      <c r="L22" s="7">
        <v>12</v>
      </c>
      <c r="M22" s="7">
        <v>3.5</v>
      </c>
      <c r="N22" s="7">
        <v>0.5</v>
      </c>
      <c r="O22" s="18">
        <f t="shared" si="0"/>
        <v>0.75</v>
      </c>
    </row>
    <row r="23" spans="1:24" x14ac:dyDescent="0.25">
      <c r="A23" s="39"/>
      <c r="B23" s="41"/>
      <c r="C23" t="s">
        <v>513</v>
      </c>
      <c r="D23" t="s">
        <v>51</v>
      </c>
      <c r="E23" s="3">
        <f t="shared" si="1"/>
        <v>3</v>
      </c>
      <c r="F23">
        <v>56.41</v>
      </c>
      <c r="G23">
        <v>4</v>
      </c>
      <c r="H23">
        <v>16.98</v>
      </c>
      <c r="I23">
        <v>8.48</v>
      </c>
      <c r="J23">
        <v>5.48</v>
      </c>
      <c r="K23">
        <v>4</v>
      </c>
      <c r="L23">
        <v>12</v>
      </c>
      <c r="M23">
        <v>3.5</v>
      </c>
      <c r="N23">
        <v>0.5</v>
      </c>
      <c r="O23" s="19">
        <f t="shared" si="0"/>
        <v>0.75</v>
      </c>
      <c r="R23" s="37" t="s">
        <v>1</v>
      </c>
      <c r="S23" s="38"/>
      <c r="T23" s="38"/>
      <c r="U23" s="38"/>
      <c r="V23" s="38"/>
      <c r="W23" s="38"/>
      <c r="X23" s="26"/>
    </row>
    <row r="24" spans="1:24" x14ac:dyDescent="0.25">
      <c r="A24" s="39"/>
      <c r="B24" s="41"/>
      <c r="C24" t="s">
        <v>514</v>
      </c>
      <c r="D24" t="s">
        <v>51</v>
      </c>
      <c r="E24" s="3">
        <f t="shared" si="1"/>
        <v>3</v>
      </c>
      <c r="F24">
        <v>56.41</v>
      </c>
      <c r="G24">
        <v>4</v>
      </c>
      <c r="H24">
        <v>16.98</v>
      </c>
      <c r="I24">
        <v>8.48</v>
      </c>
      <c r="J24">
        <v>5.48</v>
      </c>
      <c r="K24">
        <v>4</v>
      </c>
      <c r="L24">
        <v>12</v>
      </c>
      <c r="M24">
        <v>3.5</v>
      </c>
      <c r="N24">
        <v>0.5</v>
      </c>
      <c r="O24" s="19">
        <f t="shared" si="0"/>
        <v>0.75</v>
      </c>
      <c r="R24" s="1"/>
      <c r="S24" s="37" t="s">
        <v>1460</v>
      </c>
      <c r="T24" s="26"/>
      <c r="U24" s="37" t="s">
        <v>1461</v>
      </c>
      <c r="V24" s="26"/>
      <c r="W24" s="37" t="s">
        <v>1462</v>
      </c>
      <c r="X24" s="26"/>
    </row>
    <row r="25" spans="1:24" x14ac:dyDescent="0.25">
      <c r="A25" s="39"/>
      <c r="B25" s="41"/>
      <c r="C25" t="s">
        <v>515</v>
      </c>
      <c r="D25" t="s">
        <v>51</v>
      </c>
      <c r="E25" s="3">
        <f t="shared" si="1"/>
        <v>3</v>
      </c>
      <c r="F25">
        <v>56.41</v>
      </c>
      <c r="G25">
        <v>4</v>
      </c>
      <c r="H25">
        <v>16.98</v>
      </c>
      <c r="I25">
        <v>8.48</v>
      </c>
      <c r="J25">
        <v>5.48</v>
      </c>
      <c r="K25">
        <v>4</v>
      </c>
      <c r="L25">
        <v>12</v>
      </c>
      <c r="M25">
        <v>3.5</v>
      </c>
      <c r="N25">
        <v>0.5</v>
      </c>
      <c r="O25" s="19">
        <f t="shared" si="0"/>
        <v>0.75</v>
      </c>
      <c r="R25" s="1" t="s">
        <v>1488</v>
      </c>
      <c r="S25" s="35">
        <f>AVERAGE(E$62:E$81)</f>
        <v>2</v>
      </c>
      <c r="T25" s="36"/>
      <c r="U25" s="35">
        <f>AVERAGE(E$82:E$101)</f>
        <v>3</v>
      </c>
      <c r="V25" s="26"/>
      <c r="W25" s="35">
        <f>AVERAGE(E$102:E$121)</f>
        <v>3</v>
      </c>
      <c r="X25" s="26"/>
    </row>
    <row r="26" spans="1:24" x14ac:dyDescent="0.25">
      <c r="A26" s="39"/>
      <c r="B26" s="41"/>
      <c r="C26" t="s">
        <v>516</v>
      </c>
      <c r="D26" t="s">
        <v>51</v>
      </c>
      <c r="E26" s="3">
        <f t="shared" si="1"/>
        <v>3</v>
      </c>
      <c r="F26">
        <v>56.41</v>
      </c>
      <c r="G26">
        <v>4</v>
      </c>
      <c r="H26">
        <v>16.98</v>
      </c>
      <c r="I26">
        <v>8.48</v>
      </c>
      <c r="J26">
        <v>5.48</v>
      </c>
      <c r="K26">
        <v>4</v>
      </c>
      <c r="L26">
        <v>12</v>
      </c>
      <c r="M26">
        <v>3.5</v>
      </c>
      <c r="N26">
        <v>0.5</v>
      </c>
      <c r="O26" s="19">
        <f t="shared" si="0"/>
        <v>0.75</v>
      </c>
      <c r="R26" s="1" t="s">
        <v>1463</v>
      </c>
      <c r="S26" s="35">
        <f>AVERAGE(G$62:G$81)</f>
        <v>4</v>
      </c>
      <c r="T26" s="36"/>
      <c r="U26" s="35">
        <f>AVERAGE(G$82:G$101)</f>
        <v>4</v>
      </c>
      <c r="V26" s="36"/>
      <c r="W26" s="35">
        <f>AVERAGE(G$102:G$121)</f>
        <v>4</v>
      </c>
      <c r="X26" s="36"/>
    </row>
    <row r="27" spans="1:24" x14ac:dyDescent="0.25">
      <c r="A27" s="39"/>
      <c r="B27" s="41"/>
      <c r="C27" t="s">
        <v>517</v>
      </c>
      <c r="D27" t="s">
        <v>51</v>
      </c>
      <c r="E27" s="3">
        <f t="shared" si="1"/>
        <v>3</v>
      </c>
      <c r="F27">
        <v>56.41</v>
      </c>
      <c r="G27">
        <v>4</v>
      </c>
      <c r="H27">
        <v>16.98</v>
      </c>
      <c r="I27">
        <v>8.48</v>
      </c>
      <c r="J27">
        <v>5.48</v>
      </c>
      <c r="K27">
        <v>4</v>
      </c>
      <c r="L27">
        <v>12</v>
      </c>
      <c r="M27">
        <v>3.5</v>
      </c>
      <c r="N27">
        <v>0.5</v>
      </c>
      <c r="O27" s="19">
        <f t="shared" si="0"/>
        <v>0.75</v>
      </c>
      <c r="R27" s="1" t="s">
        <v>1464</v>
      </c>
      <c r="S27" s="24">
        <f>AVERAGE(H$62:H$81)</f>
        <v>13.729999999999999</v>
      </c>
      <c r="T27" s="25"/>
      <c r="U27" s="24">
        <f>AVERAGE(H$82:H$101)</f>
        <v>20.589999999999993</v>
      </c>
      <c r="V27" s="25"/>
      <c r="W27" s="24">
        <f>AVERAGE(H$102:H$121)</f>
        <v>27.459999999999997</v>
      </c>
      <c r="X27" s="25"/>
    </row>
    <row r="28" spans="1:24" x14ac:dyDescent="0.25">
      <c r="A28" s="39"/>
      <c r="B28" s="41"/>
      <c r="C28" t="s">
        <v>518</v>
      </c>
      <c r="D28" t="s">
        <v>51</v>
      </c>
      <c r="E28" s="3">
        <f t="shared" si="1"/>
        <v>3</v>
      </c>
      <c r="F28">
        <v>56.41</v>
      </c>
      <c r="G28">
        <v>4</v>
      </c>
      <c r="H28">
        <v>16.98</v>
      </c>
      <c r="I28">
        <v>8.48</v>
      </c>
      <c r="J28">
        <v>5.48</v>
      </c>
      <c r="K28">
        <v>4</v>
      </c>
      <c r="L28">
        <v>11.73</v>
      </c>
      <c r="M28">
        <v>3.23</v>
      </c>
      <c r="N28">
        <v>0.23</v>
      </c>
      <c r="O28" s="19">
        <f t="shared" si="0"/>
        <v>0.75</v>
      </c>
      <c r="R28" s="1" t="s">
        <v>1465</v>
      </c>
      <c r="S28" s="24">
        <f>AVERAGE(I$62:I$81)</f>
        <v>5.2300000000000022</v>
      </c>
      <c r="T28" s="25"/>
      <c r="U28" s="24">
        <f>AVERAGE(I$82:I$101)</f>
        <v>12.090000000000002</v>
      </c>
      <c r="V28" s="25"/>
      <c r="W28" s="24">
        <f>AVERAGE(I$102:I$121)</f>
        <v>18.959999999999997</v>
      </c>
      <c r="X28" s="25"/>
    </row>
    <row r="29" spans="1:24" x14ac:dyDescent="0.25">
      <c r="A29" s="39"/>
      <c r="B29" s="41"/>
      <c r="C29" t="s">
        <v>519</v>
      </c>
      <c r="D29" t="s">
        <v>51</v>
      </c>
      <c r="E29" s="3">
        <f t="shared" si="1"/>
        <v>3</v>
      </c>
      <c r="F29">
        <v>56.41</v>
      </c>
      <c r="G29">
        <v>4</v>
      </c>
      <c r="H29">
        <v>16.98</v>
      </c>
      <c r="I29">
        <v>8.48</v>
      </c>
      <c r="J29">
        <v>5.48</v>
      </c>
      <c r="K29">
        <v>4</v>
      </c>
      <c r="L29">
        <v>12</v>
      </c>
      <c r="M29">
        <v>3.5</v>
      </c>
      <c r="N29">
        <v>0.5</v>
      </c>
      <c r="O29" s="19">
        <f t="shared" si="0"/>
        <v>0.75</v>
      </c>
      <c r="R29" s="1" t="s">
        <v>1466</v>
      </c>
      <c r="S29" s="24">
        <f>AVERAGE(J$62:J$81)</f>
        <v>2.2299999999999995</v>
      </c>
      <c r="T29" s="25"/>
      <c r="U29" s="24">
        <f>AVERAGE(J$82:J$101)</f>
        <v>9.0900000000000016</v>
      </c>
      <c r="V29" s="25"/>
      <c r="W29" s="24">
        <f>AVERAGE(J$102:J$121)</f>
        <v>15.960000000000003</v>
      </c>
      <c r="X29" s="25"/>
    </row>
    <row r="30" spans="1:24" x14ac:dyDescent="0.25">
      <c r="A30" s="39"/>
      <c r="B30" s="41"/>
      <c r="C30" t="s">
        <v>520</v>
      </c>
      <c r="D30" t="s">
        <v>51</v>
      </c>
      <c r="E30" s="3">
        <f t="shared" si="1"/>
        <v>3</v>
      </c>
      <c r="F30">
        <v>56.41</v>
      </c>
      <c r="G30">
        <v>4</v>
      </c>
      <c r="H30">
        <v>16.98</v>
      </c>
      <c r="I30">
        <v>8.48</v>
      </c>
      <c r="J30">
        <v>5.48</v>
      </c>
      <c r="K30">
        <v>4</v>
      </c>
      <c r="L30">
        <v>12</v>
      </c>
      <c r="M30">
        <v>3.5</v>
      </c>
      <c r="N30">
        <v>0.5</v>
      </c>
      <c r="O30" s="19">
        <f t="shared" si="0"/>
        <v>0.75</v>
      </c>
      <c r="R30" s="1" t="s">
        <v>1512</v>
      </c>
      <c r="S30" s="35">
        <f>AVERAGE(K$62:K$81)</f>
        <v>2</v>
      </c>
      <c r="T30" s="36"/>
      <c r="U30" s="35">
        <f>AVERAGE(K$82:K$101)</f>
        <v>4</v>
      </c>
      <c r="V30" s="36"/>
      <c r="W30" s="35">
        <f>AVERAGE(K$102:K$121)</f>
        <v>4</v>
      </c>
      <c r="X30" s="36"/>
    </row>
    <row r="31" spans="1:24" x14ac:dyDescent="0.25">
      <c r="A31" s="39"/>
      <c r="B31" s="41"/>
      <c r="C31" t="s">
        <v>521</v>
      </c>
      <c r="D31" t="s">
        <v>51</v>
      </c>
      <c r="E31" s="3">
        <f t="shared" si="1"/>
        <v>3</v>
      </c>
      <c r="F31">
        <v>56.41</v>
      </c>
      <c r="G31">
        <v>4</v>
      </c>
      <c r="H31">
        <v>16.98</v>
      </c>
      <c r="I31">
        <v>8.48</v>
      </c>
      <c r="J31">
        <v>5.48</v>
      </c>
      <c r="K31">
        <v>4</v>
      </c>
      <c r="L31">
        <v>11.61</v>
      </c>
      <c r="M31">
        <v>3.11</v>
      </c>
      <c r="N31">
        <v>0.11</v>
      </c>
      <c r="O31" s="19">
        <f t="shared" si="0"/>
        <v>0.75</v>
      </c>
      <c r="R31" s="1" t="s">
        <v>1493</v>
      </c>
      <c r="S31" s="24">
        <f>AVERAGE(L$62:L$81)</f>
        <v>8</v>
      </c>
      <c r="T31" s="25"/>
      <c r="U31" s="24">
        <f>AVERAGE(L$82:L$101)</f>
        <v>12</v>
      </c>
      <c r="V31" s="25"/>
      <c r="W31" s="24">
        <f>AVERAGE(L$102:L$121)</f>
        <v>15.972</v>
      </c>
      <c r="X31" s="25"/>
    </row>
    <row r="32" spans="1:24" x14ac:dyDescent="0.25">
      <c r="A32" s="39"/>
      <c r="B32" s="41"/>
      <c r="C32" t="s">
        <v>522</v>
      </c>
      <c r="D32" t="s">
        <v>51</v>
      </c>
      <c r="E32" s="3">
        <f t="shared" si="1"/>
        <v>3</v>
      </c>
      <c r="F32">
        <v>56.41</v>
      </c>
      <c r="G32">
        <v>4</v>
      </c>
      <c r="H32">
        <v>16.98</v>
      </c>
      <c r="I32">
        <v>8.48</v>
      </c>
      <c r="J32">
        <v>5.48</v>
      </c>
      <c r="K32">
        <v>4</v>
      </c>
      <c r="L32">
        <v>12</v>
      </c>
      <c r="M32">
        <v>3.5</v>
      </c>
      <c r="N32">
        <v>0.5</v>
      </c>
      <c r="O32" s="19">
        <f t="shared" si="0"/>
        <v>0.75</v>
      </c>
      <c r="R32" s="1" t="s">
        <v>1467</v>
      </c>
      <c r="S32" s="24">
        <f>AVERAGE(M$62:M$81)</f>
        <v>-0.5</v>
      </c>
      <c r="T32" s="25"/>
      <c r="U32" s="24">
        <f>AVERAGE(M$82:M$101)</f>
        <v>3.5</v>
      </c>
      <c r="V32" s="25"/>
      <c r="W32" s="24">
        <f>AVERAGE(M$102:M$121)</f>
        <v>7.4719999999999995</v>
      </c>
      <c r="X32" s="25"/>
    </row>
    <row r="33" spans="1:24" x14ac:dyDescent="0.25">
      <c r="A33" s="39"/>
      <c r="B33" s="41"/>
      <c r="C33" t="s">
        <v>523</v>
      </c>
      <c r="D33" t="s">
        <v>51</v>
      </c>
      <c r="E33" s="3">
        <f t="shared" si="1"/>
        <v>3</v>
      </c>
      <c r="F33">
        <v>56.41</v>
      </c>
      <c r="G33">
        <v>4</v>
      </c>
      <c r="H33">
        <v>16.98</v>
      </c>
      <c r="I33">
        <v>8.48</v>
      </c>
      <c r="J33">
        <v>5.48</v>
      </c>
      <c r="K33">
        <v>4</v>
      </c>
      <c r="L33">
        <v>12</v>
      </c>
      <c r="M33">
        <v>3.5</v>
      </c>
      <c r="N33">
        <v>0.5</v>
      </c>
      <c r="O33" s="19">
        <f t="shared" si="0"/>
        <v>0.75</v>
      </c>
      <c r="R33" s="1" t="s">
        <v>1468</v>
      </c>
      <c r="S33" s="24">
        <f>AVERAGE(N$62:N$81)</f>
        <v>-3.5</v>
      </c>
      <c r="T33" s="25"/>
      <c r="U33" s="24">
        <f>AVERAGE(N$82:N$101)</f>
        <v>0.5</v>
      </c>
      <c r="V33" s="25"/>
      <c r="W33" s="24">
        <f>AVERAGE(N$102:N$121)</f>
        <v>4.4719999999999995</v>
      </c>
      <c r="X33" s="25"/>
    </row>
    <row r="34" spans="1:24" x14ac:dyDescent="0.25">
      <c r="A34" s="39"/>
      <c r="B34" s="41"/>
      <c r="C34" t="s">
        <v>524</v>
      </c>
      <c r="D34" t="s">
        <v>51</v>
      </c>
      <c r="E34" s="3">
        <f t="shared" si="1"/>
        <v>3</v>
      </c>
      <c r="F34">
        <v>56.41</v>
      </c>
      <c r="G34">
        <v>4</v>
      </c>
      <c r="H34">
        <v>16.98</v>
      </c>
      <c r="I34">
        <v>8.48</v>
      </c>
      <c r="J34">
        <v>5.48</v>
      </c>
      <c r="K34">
        <v>4</v>
      </c>
      <c r="L34">
        <v>12</v>
      </c>
      <c r="M34">
        <v>3.5</v>
      </c>
      <c r="N34">
        <v>0.5</v>
      </c>
      <c r="O34" s="19">
        <f t="shared" si="0"/>
        <v>0.75</v>
      </c>
    </row>
    <row r="35" spans="1:24" x14ac:dyDescent="0.25">
      <c r="A35" s="39"/>
      <c r="B35" s="41"/>
      <c r="C35" t="s">
        <v>525</v>
      </c>
      <c r="D35" t="s">
        <v>51</v>
      </c>
      <c r="E35" s="3">
        <f t="shared" si="1"/>
        <v>3</v>
      </c>
      <c r="F35">
        <v>56.41</v>
      </c>
      <c r="G35">
        <v>4</v>
      </c>
      <c r="H35">
        <v>16.98</v>
      </c>
      <c r="I35">
        <v>8.48</v>
      </c>
      <c r="J35">
        <v>5.48</v>
      </c>
      <c r="K35">
        <v>4</v>
      </c>
      <c r="L35">
        <v>12</v>
      </c>
      <c r="M35">
        <v>3.5</v>
      </c>
      <c r="N35">
        <v>0.5</v>
      </c>
      <c r="O35" s="19">
        <f t="shared" si="0"/>
        <v>0.75</v>
      </c>
      <c r="R35" s="37" t="s">
        <v>2</v>
      </c>
      <c r="S35" s="38"/>
      <c r="T35" s="38"/>
      <c r="U35" s="38"/>
      <c r="V35" s="38"/>
      <c r="W35" s="38"/>
      <c r="X35" s="26"/>
    </row>
    <row r="36" spans="1:24" x14ac:dyDescent="0.25">
      <c r="A36" s="39"/>
      <c r="B36" s="41"/>
      <c r="C36" t="s">
        <v>526</v>
      </c>
      <c r="D36" t="s">
        <v>51</v>
      </c>
      <c r="E36" s="3">
        <f t="shared" si="1"/>
        <v>3</v>
      </c>
      <c r="F36">
        <v>56.41</v>
      </c>
      <c r="G36">
        <v>4</v>
      </c>
      <c r="H36">
        <v>16.98</v>
      </c>
      <c r="I36">
        <v>8.48</v>
      </c>
      <c r="J36">
        <v>5.48</v>
      </c>
      <c r="K36">
        <v>4</v>
      </c>
      <c r="L36">
        <v>12</v>
      </c>
      <c r="M36">
        <v>3.5</v>
      </c>
      <c r="N36">
        <v>0.5</v>
      </c>
      <c r="O36" s="19">
        <f t="shared" si="0"/>
        <v>0.75</v>
      </c>
      <c r="R36" s="1"/>
      <c r="S36" s="37" t="s">
        <v>1460</v>
      </c>
      <c r="T36" s="26"/>
      <c r="U36" s="37" t="s">
        <v>1461</v>
      </c>
      <c r="V36" s="26"/>
      <c r="W36" s="37" t="s">
        <v>1462</v>
      </c>
      <c r="X36" s="26"/>
    </row>
    <row r="37" spans="1:24" x14ac:dyDescent="0.25">
      <c r="A37" s="39"/>
      <c r="B37" s="41"/>
      <c r="C37" t="s">
        <v>527</v>
      </c>
      <c r="D37" t="s">
        <v>51</v>
      </c>
      <c r="E37" s="3">
        <f t="shared" si="1"/>
        <v>3</v>
      </c>
      <c r="F37">
        <v>56.41</v>
      </c>
      <c r="G37">
        <v>4</v>
      </c>
      <c r="H37">
        <v>16.98</v>
      </c>
      <c r="I37">
        <v>8.48</v>
      </c>
      <c r="J37">
        <v>5.48</v>
      </c>
      <c r="K37">
        <v>4</v>
      </c>
      <c r="L37">
        <v>12</v>
      </c>
      <c r="M37">
        <v>3.5</v>
      </c>
      <c r="N37">
        <v>0.5</v>
      </c>
      <c r="O37" s="19">
        <f t="shared" si="0"/>
        <v>0.75</v>
      </c>
      <c r="R37" s="1" t="s">
        <v>1488</v>
      </c>
      <c r="S37" s="35">
        <f>AVERAGE(E$122:E$141)</f>
        <v>3</v>
      </c>
      <c r="T37" s="36"/>
      <c r="U37" s="35">
        <f>AVERAGE(E$142:E$161)</f>
        <v>4</v>
      </c>
      <c r="V37" s="26"/>
      <c r="W37" s="35">
        <f>AVERAGE(E$162:E$181)</f>
        <v>4</v>
      </c>
      <c r="X37" s="26"/>
    </row>
    <row r="38" spans="1:24" x14ac:dyDescent="0.25">
      <c r="A38" s="39"/>
      <c r="B38" s="41"/>
      <c r="C38" t="s">
        <v>528</v>
      </c>
      <c r="D38" t="s">
        <v>51</v>
      </c>
      <c r="E38" s="3">
        <f t="shared" si="1"/>
        <v>3</v>
      </c>
      <c r="F38">
        <v>56.41</v>
      </c>
      <c r="G38">
        <v>4</v>
      </c>
      <c r="H38">
        <v>16.98</v>
      </c>
      <c r="I38">
        <v>8.48</v>
      </c>
      <c r="J38">
        <v>5.48</v>
      </c>
      <c r="K38">
        <v>4</v>
      </c>
      <c r="L38">
        <v>12</v>
      </c>
      <c r="M38">
        <v>3.5</v>
      </c>
      <c r="N38">
        <v>0.5</v>
      </c>
      <c r="O38" s="19">
        <f t="shared" si="0"/>
        <v>0.75</v>
      </c>
      <c r="R38" s="1" t="s">
        <v>1463</v>
      </c>
      <c r="S38" s="35">
        <f>AVERAGE(G$122:G$141)</f>
        <v>4</v>
      </c>
      <c r="T38" s="36"/>
      <c r="U38" s="35">
        <f>AVERAGE(G$142:G$161)</f>
        <v>4</v>
      </c>
      <c r="V38" s="26"/>
      <c r="W38" s="35">
        <f>AVERAGE(G$162:G$181)</f>
        <v>4</v>
      </c>
      <c r="X38" s="26"/>
    </row>
    <row r="39" spans="1:24" x14ac:dyDescent="0.25">
      <c r="A39" s="39"/>
      <c r="B39" s="41"/>
      <c r="C39" t="s">
        <v>529</v>
      </c>
      <c r="D39" t="s">
        <v>51</v>
      </c>
      <c r="E39" s="3">
        <f t="shared" si="1"/>
        <v>3</v>
      </c>
      <c r="F39">
        <v>56.41</v>
      </c>
      <c r="G39">
        <v>4</v>
      </c>
      <c r="H39">
        <v>16.98</v>
      </c>
      <c r="I39">
        <v>8.48</v>
      </c>
      <c r="J39">
        <v>5.48</v>
      </c>
      <c r="K39">
        <v>4</v>
      </c>
      <c r="L39">
        <v>12</v>
      </c>
      <c r="M39">
        <v>3.5</v>
      </c>
      <c r="N39">
        <v>0.5</v>
      </c>
      <c r="O39" s="19">
        <f t="shared" si="0"/>
        <v>0.75</v>
      </c>
      <c r="R39" s="1" t="s">
        <v>1464</v>
      </c>
      <c r="S39" s="24">
        <f>AVERAGE(H$122:H$141)</f>
        <v>14.917499999999993</v>
      </c>
      <c r="T39" s="25"/>
      <c r="U39" s="24">
        <f>AVERAGE(H$142:H$161)</f>
        <v>22.299999999999997</v>
      </c>
      <c r="V39" s="25"/>
      <c r="W39" s="24">
        <f>AVERAGE(H$162:H$181)</f>
        <v>29.735000000000003</v>
      </c>
      <c r="X39" s="25"/>
    </row>
    <row r="40" spans="1:24" x14ac:dyDescent="0.25">
      <c r="A40" s="39"/>
      <c r="B40" s="41"/>
      <c r="C40" t="s">
        <v>530</v>
      </c>
      <c r="D40" t="s">
        <v>51</v>
      </c>
      <c r="E40" s="3">
        <f t="shared" si="1"/>
        <v>3</v>
      </c>
      <c r="F40">
        <v>56.41</v>
      </c>
      <c r="G40">
        <v>4</v>
      </c>
      <c r="H40">
        <v>16.98</v>
      </c>
      <c r="I40">
        <v>8.48</v>
      </c>
      <c r="J40">
        <v>5.48</v>
      </c>
      <c r="K40">
        <v>4</v>
      </c>
      <c r="L40">
        <v>11.49</v>
      </c>
      <c r="M40">
        <v>3</v>
      </c>
      <c r="N40">
        <v>0</v>
      </c>
      <c r="O40" s="19">
        <f t="shared" si="0"/>
        <v>0.75</v>
      </c>
      <c r="R40" s="1" t="s">
        <v>1465</v>
      </c>
      <c r="S40" s="24">
        <f>AVERAGE(I$122:I$141)</f>
        <v>6.4230000000000018</v>
      </c>
      <c r="T40" s="25"/>
      <c r="U40" s="24">
        <f>AVERAGE(I$142:I$161)</f>
        <v>13.799999999999997</v>
      </c>
      <c r="V40" s="25"/>
      <c r="W40" s="24">
        <f>AVERAGE(I$162:I$181)</f>
        <v>21.235000000000007</v>
      </c>
      <c r="X40" s="25"/>
    </row>
    <row r="41" spans="1:24" x14ac:dyDescent="0.25">
      <c r="A41" s="39"/>
      <c r="B41" s="42"/>
      <c r="C41" s="10" t="s">
        <v>531</v>
      </c>
      <c r="D41" s="10" t="s">
        <v>51</v>
      </c>
      <c r="E41" s="11">
        <f t="shared" si="1"/>
        <v>3</v>
      </c>
      <c r="F41" s="10">
        <v>56.41</v>
      </c>
      <c r="G41" s="10">
        <v>4</v>
      </c>
      <c r="H41" s="10">
        <v>16.98</v>
      </c>
      <c r="I41" s="10">
        <v>8.48</v>
      </c>
      <c r="J41" s="10">
        <v>5.48</v>
      </c>
      <c r="K41" s="10">
        <v>4</v>
      </c>
      <c r="L41" s="10">
        <v>11.35</v>
      </c>
      <c r="M41" s="10">
        <v>2.85</v>
      </c>
      <c r="N41" s="10">
        <v>-0.15</v>
      </c>
      <c r="O41" s="20">
        <f t="shared" si="0"/>
        <v>0.75</v>
      </c>
      <c r="R41" s="1" t="s">
        <v>1466</v>
      </c>
      <c r="S41" s="24">
        <f>AVERAGE(J$122:J$141)</f>
        <v>3.4229999999999996</v>
      </c>
      <c r="T41" s="25"/>
      <c r="U41" s="24">
        <f>AVERAGE(J$142:J$161)</f>
        <v>10.799999999999997</v>
      </c>
      <c r="V41" s="25"/>
      <c r="W41" s="24">
        <f>AVERAGE(J$162:J$181)</f>
        <v>18.235000000000007</v>
      </c>
      <c r="X41" s="25"/>
    </row>
    <row r="42" spans="1:24" x14ac:dyDescent="0.25">
      <c r="A42" s="39"/>
      <c r="B42" s="40" t="s">
        <v>5</v>
      </c>
      <c r="C42" s="7" t="s">
        <v>532</v>
      </c>
      <c r="D42" s="7" t="s">
        <v>51</v>
      </c>
      <c r="E42" s="3">
        <f t="shared" si="1"/>
        <v>3</v>
      </c>
      <c r="F42" s="7">
        <v>75.209999999999994</v>
      </c>
      <c r="G42" s="7">
        <v>4</v>
      </c>
      <c r="H42" s="7">
        <v>22.64</v>
      </c>
      <c r="I42" s="7">
        <v>14.14</v>
      </c>
      <c r="J42" s="7">
        <v>11.14</v>
      </c>
      <c r="K42" s="7">
        <v>4</v>
      </c>
      <c r="L42" s="7">
        <v>15.71</v>
      </c>
      <c r="M42" s="7">
        <v>7.21</v>
      </c>
      <c r="N42" s="7">
        <v>4.21</v>
      </c>
      <c r="O42" s="18">
        <f t="shared" si="0"/>
        <v>0.75</v>
      </c>
      <c r="R42" s="1" t="s">
        <v>1512</v>
      </c>
      <c r="S42" s="35">
        <f>AVERAGE(K$122:K$141)</f>
        <v>2</v>
      </c>
      <c r="T42" s="36"/>
      <c r="U42" s="35">
        <f>AVERAGE(K$142:K$161)</f>
        <v>4</v>
      </c>
      <c r="V42" s="26"/>
      <c r="W42" s="35">
        <f>AVERAGE(K$162:K$181)</f>
        <v>4</v>
      </c>
      <c r="X42" s="26"/>
    </row>
    <row r="43" spans="1:24" x14ac:dyDescent="0.25">
      <c r="A43" s="39"/>
      <c r="B43" s="41"/>
      <c r="C43" t="s">
        <v>533</v>
      </c>
      <c r="D43" t="s">
        <v>51</v>
      </c>
      <c r="E43" s="3">
        <f t="shared" si="1"/>
        <v>3</v>
      </c>
      <c r="F43">
        <v>75.209999999999994</v>
      </c>
      <c r="G43">
        <v>4</v>
      </c>
      <c r="H43">
        <v>22.64</v>
      </c>
      <c r="I43">
        <v>14.14</v>
      </c>
      <c r="J43">
        <v>11.14</v>
      </c>
      <c r="K43">
        <v>4</v>
      </c>
      <c r="L43">
        <v>16</v>
      </c>
      <c r="M43">
        <v>7.5</v>
      </c>
      <c r="N43">
        <v>4.5</v>
      </c>
      <c r="O43" s="19">
        <f t="shared" si="0"/>
        <v>0.75</v>
      </c>
      <c r="R43" s="1" t="s">
        <v>1493</v>
      </c>
      <c r="S43" s="24">
        <f>AVERAGE(L$122:L$141)</f>
        <v>8</v>
      </c>
      <c r="T43" s="25"/>
      <c r="U43" s="24">
        <f>AVERAGE(L$142:L$161)</f>
        <v>11.95</v>
      </c>
      <c r="V43" s="25"/>
      <c r="W43" s="24">
        <f>AVERAGE(L$162:L$181)</f>
        <v>16</v>
      </c>
      <c r="X43" s="25"/>
    </row>
    <row r="44" spans="1:24" x14ac:dyDescent="0.25">
      <c r="A44" s="39"/>
      <c r="B44" s="41"/>
      <c r="C44" t="s">
        <v>534</v>
      </c>
      <c r="D44" t="s">
        <v>51</v>
      </c>
      <c r="E44" s="3">
        <f t="shared" si="1"/>
        <v>3</v>
      </c>
      <c r="F44">
        <v>75.209999999999994</v>
      </c>
      <c r="G44">
        <v>4</v>
      </c>
      <c r="H44">
        <v>22.64</v>
      </c>
      <c r="I44">
        <v>14.14</v>
      </c>
      <c r="J44">
        <v>11.14</v>
      </c>
      <c r="K44">
        <v>4</v>
      </c>
      <c r="L44">
        <v>16</v>
      </c>
      <c r="M44">
        <v>7.5</v>
      </c>
      <c r="N44">
        <v>4.5</v>
      </c>
      <c r="O44" s="19">
        <f t="shared" si="0"/>
        <v>0.75</v>
      </c>
      <c r="R44" s="1" t="s">
        <v>1467</v>
      </c>
      <c r="S44" s="24">
        <f>AVERAGE(M$122:M$141)</f>
        <v>-0.5</v>
      </c>
      <c r="T44" s="25"/>
      <c r="U44" s="24">
        <f>AVERAGE(M$142:M$161)</f>
        <v>3.45</v>
      </c>
      <c r="V44" s="25"/>
      <c r="W44" s="24">
        <f>AVERAGE(M$162:M$181)</f>
        <v>7.5</v>
      </c>
      <c r="X44" s="25"/>
    </row>
    <row r="45" spans="1:24" x14ac:dyDescent="0.25">
      <c r="A45" s="39"/>
      <c r="B45" s="41"/>
      <c r="C45" t="s">
        <v>535</v>
      </c>
      <c r="D45" t="s">
        <v>51</v>
      </c>
      <c r="E45" s="3">
        <f t="shared" si="1"/>
        <v>3</v>
      </c>
      <c r="F45">
        <v>75.209999999999994</v>
      </c>
      <c r="G45">
        <v>4</v>
      </c>
      <c r="H45">
        <v>22.64</v>
      </c>
      <c r="I45">
        <v>14.14</v>
      </c>
      <c r="J45">
        <v>11.14</v>
      </c>
      <c r="K45">
        <v>4</v>
      </c>
      <c r="L45">
        <v>16</v>
      </c>
      <c r="M45">
        <v>7.5</v>
      </c>
      <c r="N45">
        <v>4.5</v>
      </c>
      <c r="O45" s="19">
        <f t="shared" si="0"/>
        <v>0.75</v>
      </c>
      <c r="R45" s="1" t="s">
        <v>1468</v>
      </c>
      <c r="S45" s="24">
        <f>AVERAGE(N$122:N$141)</f>
        <v>-3.5</v>
      </c>
      <c r="T45" s="25"/>
      <c r="U45" s="24">
        <f>AVERAGE(N$142:N$161)</f>
        <v>0.45</v>
      </c>
      <c r="V45" s="25"/>
      <c r="W45" s="24">
        <f>AVERAGE(N$162:N$181)</f>
        <v>4.5</v>
      </c>
      <c r="X45" s="25"/>
    </row>
    <row r="46" spans="1:24" x14ac:dyDescent="0.25">
      <c r="A46" s="39"/>
      <c r="B46" s="41"/>
      <c r="C46" t="s">
        <v>536</v>
      </c>
      <c r="D46" t="s">
        <v>51</v>
      </c>
      <c r="E46" s="3">
        <f t="shared" si="1"/>
        <v>3</v>
      </c>
      <c r="F46">
        <v>75.209999999999994</v>
      </c>
      <c r="G46">
        <v>4</v>
      </c>
      <c r="H46">
        <v>22.64</v>
      </c>
      <c r="I46">
        <v>14.14</v>
      </c>
      <c r="J46">
        <v>11.14</v>
      </c>
      <c r="K46">
        <v>4</v>
      </c>
      <c r="L46">
        <v>16</v>
      </c>
      <c r="M46">
        <v>7.5</v>
      </c>
      <c r="N46">
        <v>4.5</v>
      </c>
      <c r="O46" s="19">
        <f t="shared" si="0"/>
        <v>0.75</v>
      </c>
    </row>
    <row r="47" spans="1:24" x14ac:dyDescent="0.25">
      <c r="A47" s="39"/>
      <c r="B47" s="41"/>
      <c r="C47" t="s">
        <v>537</v>
      </c>
      <c r="D47" t="s">
        <v>51</v>
      </c>
      <c r="E47" s="3">
        <f t="shared" si="1"/>
        <v>3</v>
      </c>
      <c r="F47">
        <v>75.209999999999994</v>
      </c>
      <c r="G47">
        <v>4</v>
      </c>
      <c r="H47">
        <v>22.64</v>
      </c>
      <c r="I47">
        <v>14.14</v>
      </c>
      <c r="J47">
        <v>11.14</v>
      </c>
      <c r="K47">
        <v>4</v>
      </c>
      <c r="L47">
        <v>16</v>
      </c>
      <c r="M47">
        <v>7.5</v>
      </c>
      <c r="N47">
        <v>4.5</v>
      </c>
      <c r="O47" s="19">
        <f t="shared" si="0"/>
        <v>0.75</v>
      </c>
      <c r="R47" s="37" t="s">
        <v>1491</v>
      </c>
      <c r="S47" s="38"/>
      <c r="T47" s="38"/>
      <c r="U47" s="38"/>
      <c r="V47" s="38"/>
      <c r="W47" s="38"/>
      <c r="X47" s="26"/>
    </row>
    <row r="48" spans="1:24" x14ac:dyDescent="0.25">
      <c r="A48" s="39"/>
      <c r="B48" s="41"/>
      <c r="C48" t="s">
        <v>538</v>
      </c>
      <c r="D48" t="s">
        <v>51</v>
      </c>
      <c r="E48" s="3">
        <f t="shared" si="1"/>
        <v>3</v>
      </c>
      <c r="F48">
        <v>75.209999999999994</v>
      </c>
      <c r="G48">
        <v>4</v>
      </c>
      <c r="H48">
        <v>22.64</v>
      </c>
      <c r="I48">
        <v>14.14</v>
      </c>
      <c r="J48">
        <v>11.14</v>
      </c>
      <c r="K48">
        <v>4</v>
      </c>
      <c r="L48">
        <v>16</v>
      </c>
      <c r="M48">
        <v>7.5</v>
      </c>
      <c r="N48">
        <v>4.5</v>
      </c>
      <c r="O48" s="19">
        <f t="shared" si="0"/>
        <v>0.75</v>
      </c>
      <c r="R48" s="1"/>
      <c r="S48" s="37" t="s">
        <v>1460</v>
      </c>
      <c r="T48" s="26"/>
      <c r="U48" s="37" t="s">
        <v>1461</v>
      </c>
      <c r="V48" s="26"/>
      <c r="W48" s="37" t="s">
        <v>1462</v>
      </c>
      <c r="X48" s="26"/>
    </row>
    <row r="49" spans="1:24" x14ac:dyDescent="0.25">
      <c r="A49" s="39"/>
      <c r="B49" s="41"/>
      <c r="C49" t="s">
        <v>539</v>
      </c>
      <c r="D49" t="s">
        <v>51</v>
      </c>
      <c r="E49" s="3">
        <f t="shared" si="1"/>
        <v>3</v>
      </c>
      <c r="F49">
        <v>75.209999999999994</v>
      </c>
      <c r="G49">
        <v>4</v>
      </c>
      <c r="H49">
        <v>22.64</v>
      </c>
      <c r="I49">
        <v>14.14</v>
      </c>
      <c r="J49">
        <v>11.14</v>
      </c>
      <c r="K49">
        <v>4</v>
      </c>
      <c r="L49">
        <v>15.48</v>
      </c>
      <c r="M49">
        <v>6.98</v>
      </c>
      <c r="N49">
        <v>3.98</v>
      </c>
      <c r="O49" s="19">
        <f t="shared" si="0"/>
        <v>0.75</v>
      </c>
      <c r="R49" s="1" t="s">
        <v>1488</v>
      </c>
      <c r="S49" s="35">
        <f>AVERAGE(E$182:E$201)</f>
        <v>3</v>
      </c>
      <c r="T49" s="36"/>
      <c r="U49" s="35">
        <f>AVERAGE(E$202:E$221)</f>
        <v>4</v>
      </c>
      <c r="V49" s="26"/>
      <c r="W49" s="35">
        <f>AVERAGE(E$222:E$241)</f>
        <v>4</v>
      </c>
      <c r="X49" s="26"/>
    </row>
    <row r="50" spans="1:24" x14ac:dyDescent="0.25">
      <c r="A50" s="39"/>
      <c r="B50" s="41"/>
      <c r="C50" t="s">
        <v>540</v>
      </c>
      <c r="D50" t="s">
        <v>51</v>
      </c>
      <c r="E50" s="3">
        <f t="shared" si="1"/>
        <v>3</v>
      </c>
      <c r="F50">
        <v>75.209999999999994</v>
      </c>
      <c r="G50">
        <v>4</v>
      </c>
      <c r="H50">
        <v>22.64</v>
      </c>
      <c r="I50">
        <v>14.14</v>
      </c>
      <c r="J50">
        <v>11.14</v>
      </c>
      <c r="K50">
        <v>4</v>
      </c>
      <c r="L50">
        <v>16</v>
      </c>
      <c r="M50">
        <v>7.5</v>
      </c>
      <c r="N50">
        <v>4.5</v>
      </c>
      <c r="O50" s="19">
        <f t="shared" si="0"/>
        <v>0.75</v>
      </c>
      <c r="R50" s="1" t="s">
        <v>1463</v>
      </c>
      <c r="S50" s="35">
        <f>AVERAGE(G$182:G$201)</f>
        <v>4</v>
      </c>
      <c r="T50" s="36"/>
      <c r="U50" s="35">
        <f>AVERAGE(G$202:G$221)</f>
        <v>4</v>
      </c>
      <c r="V50" s="26"/>
      <c r="W50" s="35">
        <f>AVERAGE(G$222:G$241)</f>
        <v>4</v>
      </c>
      <c r="X50" s="26"/>
    </row>
    <row r="51" spans="1:24" x14ac:dyDescent="0.25">
      <c r="A51" s="39"/>
      <c r="B51" s="41"/>
      <c r="C51" t="s">
        <v>541</v>
      </c>
      <c r="D51" t="s">
        <v>51</v>
      </c>
      <c r="E51" s="3">
        <f t="shared" si="1"/>
        <v>3</v>
      </c>
      <c r="F51">
        <v>75.209999999999994</v>
      </c>
      <c r="G51">
        <v>4</v>
      </c>
      <c r="H51">
        <v>22.64</v>
      </c>
      <c r="I51">
        <v>14.14</v>
      </c>
      <c r="J51">
        <v>11.14</v>
      </c>
      <c r="K51">
        <v>4</v>
      </c>
      <c r="L51">
        <v>16</v>
      </c>
      <c r="M51">
        <v>7.5</v>
      </c>
      <c r="N51">
        <v>4.5</v>
      </c>
      <c r="O51" s="19">
        <f t="shared" si="0"/>
        <v>0.75</v>
      </c>
      <c r="R51" s="1" t="s">
        <v>1464</v>
      </c>
      <c r="S51" s="24">
        <f>AVERAGE(H$182:H$201)</f>
        <v>15.789999999999997</v>
      </c>
      <c r="T51" s="25"/>
      <c r="U51" s="24">
        <f>AVERAGE(H$202:H$221)</f>
        <v>23.680000000000003</v>
      </c>
      <c r="V51" s="25"/>
      <c r="W51" s="24">
        <f>AVERAGE(H$222:H$241)</f>
        <v>31.570000000000004</v>
      </c>
      <c r="X51" s="25"/>
    </row>
    <row r="52" spans="1:24" x14ac:dyDescent="0.25">
      <c r="A52" s="39"/>
      <c r="B52" s="41"/>
      <c r="C52" t="s">
        <v>542</v>
      </c>
      <c r="D52" t="s">
        <v>51</v>
      </c>
      <c r="E52" s="3">
        <f t="shared" si="1"/>
        <v>3</v>
      </c>
      <c r="F52">
        <v>75.209999999999994</v>
      </c>
      <c r="G52">
        <v>4</v>
      </c>
      <c r="H52">
        <v>22.64</v>
      </c>
      <c r="I52">
        <v>14.14</v>
      </c>
      <c r="J52">
        <v>11.14</v>
      </c>
      <c r="K52">
        <v>4</v>
      </c>
      <c r="L52">
        <v>16</v>
      </c>
      <c r="M52">
        <v>7.5</v>
      </c>
      <c r="N52">
        <v>4.5</v>
      </c>
      <c r="O52" s="19">
        <f t="shared" si="0"/>
        <v>0.75</v>
      </c>
      <c r="R52" s="1" t="s">
        <v>1465</v>
      </c>
      <c r="S52" s="24">
        <f>AVERAGE(I$182:I$201)</f>
        <v>7.2900000000000018</v>
      </c>
      <c r="T52" s="25"/>
      <c r="U52" s="24">
        <f>AVERAGE(I$202:I$221)</f>
        <v>15.180000000000003</v>
      </c>
      <c r="V52" s="25"/>
      <c r="W52" s="24">
        <f>AVERAGE(I$222:I$241)</f>
        <v>23.069999999999997</v>
      </c>
      <c r="X52" s="25"/>
    </row>
    <row r="53" spans="1:24" x14ac:dyDescent="0.25">
      <c r="A53" s="39"/>
      <c r="B53" s="41"/>
      <c r="C53" t="s">
        <v>543</v>
      </c>
      <c r="D53" t="s">
        <v>51</v>
      </c>
      <c r="E53" s="3">
        <f t="shared" si="1"/>
        <v>3</v>
      </c>
      <c r="F53">
        <v>75.209999999999994</v>
      </c>
      <c r="G53">
        <v>4</v>
      </c>
      <c r="H53">
        <v>22.64</v>
      </c>
      <c r="I53">
        <v>14.14</v>
      </c>
      <c r="J53">
        <v>11.14</v>
      </c>
      <c r="K53">
        <v>4</v>
      </c>
      <c r="L53">
        <v>16</v>
      </c>
      <c r="M53">
        <v>7.5</v>
      </c>
      <c r="N53">
        <v>4.5</v>
      </c>
      <c r="O53" s="19">
        <f t="shared" si="0"/>
        <v>0.75</v>
      </c>
      <c r="R53" s="1" t="s">
        <v>1466</v>
      </c>
      <c r="S53" s="24">
        <f>AVERAGE(J$182:J$201)</f>
        <v>4.2900000000000009</v>
      </c>
      <c r="T53" s="25"/>
      <c r="U53" s="24">
        <f>AVERAGE(J$202:J$221)</f>
        <v>12.180000000000003</v>
      </c>
      <c r="V53" s="25"/>
      <c r="W53" s="24">
        <f>AVERAGE(J$222:J$241)</f>
        <v>20.069999999999997</v>
      </c>
      <c r="X53" s="25"/>
    </row>
    <row r="54" spans="1:24" x14ac:dyDescent="0.25">
      <c r="A54" s="39"/>
      <c r="B54" s="41"/>
      <c r="C54" t="s">
        <v>544</v>
      </c>
      <c r="D54" t="s">
        <v>51</v>
      </c>
      <c r="E54" s="3">
        <f t="shared" si="1"/>
        <v>3</v>
      </c>
      <c r="F54">
        <v>75.209999999999994</v>
      </c>
      <c r="G54">
        <v>4</v>
      </c>
      <c r="H54">
        <v>22.64</v>
      </c>
      <c r="I54">
        <v>14.14</v>
      </c>
      <c r="J54">
        <v>11.14</v>
      </c>
      <c r="K54">
        <v>4</v>
      </c>
      <c r="L54">
        <v>15.97</v>
      </c>
      <c r="M54">
        <v>7.47</v>
      </c>
      <c r="N54">
        <v>4.47</v>
      </c>
      <c r="O54" s="19">
        <f t="shared" si="0"/>
        <v>0.75</v>
      </c>
      <c r="R54" s="1" t="s">
        <v>1512</v>
      </c>
      <c r="S54" s="35">
        <f>AVERAGE(K$182:K$201)</f>
        <v>2</v>
      </c>
      <c r="T54" s="36"/>
      <c r="U54" s="35">
        <f>AVERAGE(K$202:K$221)</f>
        <v>4</v>
      </c>
      <c r="V54" s="26"/>
      <c r="W54" s="35">
        <f>AVERAGE(K$222:K$241)</f>
        <v>4</v>
      </c>
      <c r="X54" s="26"/>
    </row>
    <row r="55" spans="1:24" x14ac:dyDescent="0.25">
      <c r="A55" s="39"/>
      <c r="B55" s="41"/>
      <c r="C55" t="s">
        <v>545</v>
      </c>
      <c r="D55" t="s">
        <v>51</v>
      </c>
      <c r="E55" s="3">
        <f t="shared" si="1"/>
        <v>3</v>
      </c>
      <c r="F55">
        <v>75.209999999999994</v>
      </c>
      <c r="G55">
        <v>4</v>
      </c>
      <c r="H55">
        <v>22.64</v>
      </c>
      <c r="I55">
        <v>14.14</v>
      </c>
      <c r="J55">
        <v>11.14</v>
      </c>
      <c r="K55">
        <v>4</v>
      </c>
      <c r="L55">
        <v>16</v>
      </c>
      <c r="M55">
        <v>7.5</v>
      </c>
      <c r="N55">
        <v>4.5</v>
      </c>
      <c r="O55" s="19">
        <f t="shared" si="0"/>
        <v>0.75</v>
      </c>
      <c r="R55" s="1" t="s">
        <v>1493</v>
      </c>
      <c r="S55" s="24">
        <f>AVERAGE(L$182:L$201)</f>
        <v>8</v>
      </c>
      <c r="T55" s="25"/>
      <c r="U55" s="24">
        <f>AVERAGE(L$202:L$221)</f>
        <v>12</v>
      </c>
      <c r="V55" s="25"/>
      <c r="W55" s="24">
        <f>AVERAGE(L$222:L$241)</f>
        <v>15.978999999999999</v>
      </c>
      <c r="X55" s="25"/>
    </row>
    <row r="56" spans="1:24" x14ac:dyDescent="0.25">
      <c r="A56" s="39"/>
      <c r="B56" s="41"/>
      <c r="C56" t="s">
        <v>546</v>
      </c>
      <c r="D56" t="s">
        <v>51</v>
      </c>
      <c r="E56" s="3">
        <f t="shared" si="1"/>
        <v>3</v>
      </c>
      <c r="F56">
        <v>75.209999999999994</v>
      </c>
      <c r="G56">
        <v>4</v>
      </c>
      <c r="H56">
        <v>22.64</v>
      </c>
      <c r="I56">
        <v>14.14</v>
      </c>
      <c r="J56">
        <v>11.14</v>
      </c>
      <c r="K56">
        <v>4</v>
      </c>
      <c r="L56">
        <v>16</v>
      </c>
      <c r="M56">
        <v>7.5</v>
      </c>
      <c r="N56">
        <v>4.5</v>
      </c>
      <c r="O56" s="19">
        <f t="shared" si="0"/>
        <v>0.75</v>
      </c>
      <c r="R56" s="1" t="s">
        <v>1467</v>
      </c>
      <c r="S56" s="24">
        <f>AVERAGE(M$182:M$201)</f>
        <v>-0.5</v>
      </c>
      <c r="T56" s="25"/>
      <c r="U56" s="24">
        <f>AVERAGE(M$202:M$221)</f>
        <v>3.5</v>
      </c>
      <c r="V56" s="25"/>
      <c r="W56" s="24">
        <f>AVERAGE(M$222:M$241)</f>
        <v>7.4789999999999992</v>
      </c>
      <c r="X56" s="25"/>
    </row>
    <row r="57" spans="1:24" x14ac:dyDescent="0.25">
      <c r="A57" s="39"/>
      <c r="B57" s="41"/>
      <c r="C57" t="s">
        <v>547</v>
      </c>
      <c r="D57" t="s">
        <v>51</v>
      </c>
      <c r="E57" s="3">
        <f t="shared" si="1"/>
        <v>3</v>
      </c>
      <c r="F57">
        <v>75.209999999999994</v>
      </c>
      <c r="G57">
        <v>4</v>
      </c>
      <c r="H57">
        <v>22.64</v>
      </c>
      <c r="I57">
        <v>14.14</v>
      </c>
      <c r="J57">
        <v>11.14</v>
      </c>
      <c r="K57">
        <v>4</v>
      </c>
      <c r="L57">
        <v>16</v>
      </c>
      <c r="M57">
        <v>7.5</v>
      </c>
      <c r="N57">
        <v>4.5</v>
      </c>
      <c r="O57" s="19">
        <f t="shared" si="0"/>
        <v>0.75</v>
      </c>
      <c r="R57" s="1" t="s">
        <v>1468</v>
      </c>
      <c r="S57" s="24">
        <f>AVERAGE(N$182:N$201)</f>
        <v>-3.5</v>
      </c>
      <c r="T57" s="25"/>
      <c r="U57" s="24">
        <f>AVERAGE(N$202:N$221)</f>
        <v>0.5</v>
      </c>
      <c r="V57" s="25"/>
      <c r="W57" s="24">
        <f>AVERAGE(N$222:N$241)</f>
        <v>4.4790000000000001</v>
      </c>
      <c r="X57" s="25"/>
    </row>
    <row r="58" spans="1:24" x14ac:dyDescent="0.25">
      <c r="A58" s="39"/>
      <c r="B58" s="41"/>
      <c r="C58" t="s">
        <v>548</v>
      </c>
      <c r="D58" t="s">
        <v>51</v>
      </c>
      <c r="E58" s="3">
        <f t="shared" si="1"/>
        <v>3</v>
      </c>
      <c r="F58">
        <v>75.209999999999994</v>
      </c>
      <c r="G58">
        <v>4</v>
      </c>
      <c r="H58">
        <v>22.64</v>
      </c>
      <c r="I58">
        <v>14.14</v>
      </c>
      <c r="J58">
        <v>11.14</v>
      </c>
      <c r="K58">
        <v>4</v>
      </c>
      <c r="L58">
        <v>16</v>
      </c>
      <c r="M58">
        <v>7.5</v>
      </c>
      <c r="N58">
        <v>4.5</v>
      </c>
      <c r="O58" s="19">
        <f t="shared" si="0"/>
        <v>0.75</v>
      </c>
    </row>
    <row r="59" spans="1:24" x14ac:dyDescent="0.25">
      <c r="A59" s="39"/>
      <c r="B59" s="41"/>
      <c r="C59" t="s">
        <v>549</v>
      </c>
      <c r="D59" t="s">
        <v>51</v>
      </c>
      <c r="E59" s="3">
        <f t="shared" si="1"/>
        <v>3</v>
      </c>
      <c r="F59">
        <v>75.209999999999994</v>
      </c>
      <c r="G59">
        <v>4</v>
      </c>
      <c r="H59">
        <v>22.64</v>
      </c>
      <c r="I59">
        <v>14.14</v>
      </c>
      <c r="J59">
        <v>11.14</v>
      </c>
      <c r="K59">
        <v>4</v>
      </c>
      <c r="L59">
        <v>16</v>
      </c>
      <c r="M59">
        <v>7.5</v>
      </c>
      <c r="N59">
        <v>4.5</v>
      </c>
      <c r="O59" s="19">
        <f t="shared" si="0"/>
        <v>0.75</v>
      </c>
      <c r="R59" s="37"/>
      <c r="S59" s="38"/>
      <c r="T59" s="38"/>
      <c r="U59" s="38"/>
      <c r="V59" s="38"/>
      <c r="W59" s="38"/>
      <c r="X59" s="26"/>
    </row>
    <row r="60" spans="1:24" x14ac:dyDescent="0.25">
      <c r="A60" s="39"/>
      <c r="B60" s="41"/>
      <c r="C60" t="s">
        <v>550</v>
      </c>
      <c r="D60" t="s">
        <v>51</v>
      </c>
      <c r="E60" s="3">
        <f t="shared" si="1"/>
        <v>3</v>
      </c>
      <c r="F60">
        <v>75.209999999999994</v>
      </c>
      <c r="G60">
        <v>4</v>
      </c>
      <c r="H60">
        <v>22.64</v>
      </c>
      <c r="I60">
        <v>14.14</v>
      </c>
      <c r="J60">
        <v>11.14</v>
      </c>
      <c r="K60">
        <v>4</v>
      </c>
      <c r="L60">
        <v>16</v>
      </c>
      <c r="M60">
        <v>7.5</v>
      </c>
      <c r="N60">
        <v>4.5</v>
      </c>
      <c r="O60" s="19">
        <f t="shared" si="0"/>
        <v>0.75</v>
      </c>
      <c r="R60" s="1"/>
      <c r="S60" s="30" t="s">
        <v>1460</v>
      </c>
      <c r="T60" s="30"/>
      <c r="U60" s="30" t="s">
        <v>1461</v>
      </c>
      <c r="V60" s="30"/>
      <c r="W60" s="30" t="s">
        <v>1462</v>
      </c>
      <c r="X60" s="30"/>
    </row>
    <row r="61" spans="1:24" x14ac:dyDescent="0.25">
      <c r="A61" s="39"/>
      <c r="B61" s="42"/>
      <c r="C61" s="10" t="s">
        <v>551</v>
      </c>
      <c r="D61" s="10" t="s">
        <v>51</v>
      </c>
      <c r="E61" s="11">
        <f t="shared" si="1"/>
        <v>3</v>
      </c>
      <c r="F61" s="10">
        <v>75.209999999999994</v>
      </c>
      <c r="G61" s="10">
        <v>4</v>
      </c>
      <c r="H61" s="10">
        <v>22.64</v>
      </c>
      <c r="I61" s="10">
        <v>14.14</v>
      </c>
      <c r="J61" s="10">
        <v>11.14</v>
      </c>
      <c r="K61" s="10">
        <v>4</v>
      </c>
      <c r="L61" s="10">
        <v>16</v>
      </c>
      <c r="M61" s="10">
        <v>7.5</v>
      </c>
      <c r="N61" s="10">
        <v>4.5</v>
      </c>
      <c r="O61" s="20">
        <f t="shared" si="0"/>
        <v>0.75</v>
      </c>
      <c r="Q61" s="32" t="s">
        <v>0</v>
      </c>
      <c r="R61" s="1" t="s">
        <v>1488</v>
      </c>
      <c r="S61" s="35">
        <v>2</v>
      </c>
      <c r="T61" s="36"/>
      <c r="U61" s="35">
        <v>3</v>
      </c>
      <c r="V61" s="26"/>
      <c r="W61" s="35">
        <v>3</v>
      </c>
      <c r="X61" s="26"/>
    </row>
    <row r="62" spans="1:24" x14ac:dyDescent="0.25">
      <c r="A62" s="39" t="s">
        <v>1</v>
      </c>
      <c r="B62" s="40" t="s">
        <v>4</v>
      </c>
      <c r="C62" s="7" t="s">
        <v>552</v>
      </c>
      <c r="D62" s="7" t="s">
        <v>271</v>
      </c>
      <c r="E62" s="3">
        <f t="shared" si="1"/>
        <v>2</v>
      </c>
      <c r="F62" s="7">
        <v>45.6</v>
      </c>
      <c r="G62" s="7">
        <v>4</v>
      </c>
      <c r="H62" s="7">
        <v>13.73</v>
      </c>
      <c r="I62" s="7">
        <v>5.23</v>
      </c>
      <c r="J62" s="7">
        <v>2.23</v>
      </c>
      <c r="K62" s="7">
        <v>2</v>
      </c>
      <c r="L62" s="7">
        <v>8</v>
      </c>
      <c r="M62" s="7">
        <v>-0.5</v>
      </c>
      <c r="N62" s="7">
        <v>-3.5</v>
      </c>
      <c r="O62" s="18">
        <f t="shared" si="0"/>
        <v>1</v>
      </c>
      <c r="Q62" s="33"/>
      <c r="R62" s="1" t="s">
        <v>1512</v>
      </c>
      <c r="S62" s="35">
        <v>2</v>
      </c>
      <c r="T62" s="26"/>
      <c r="U62" s="35">
        <v>4</v>
      </c>
      <c r="V62" s="26"/>
      <c r="W62" s="35">
        <v>4</v>
      </c>
      <c r="X62" s="26"/>
    </row>
    <row r="63" spans="1:24" x14ac:dyDescent="0.25">
      <c r="A63" s="39"/>
      <c r="B63" s="41"/>
      <c r="C63" t="s">
        <v>553</v>
      </c>
      <c r="D63" t="s">
        <v>271</v>
      </c>
      <c r="E63" s="3">
        <f t="shared" si="1"/>
        <v>2</v>
      </c>
      <c r="F63">
        <v>45.6</v>
      </c>
      <c r="G63">
        <v>4</v>
      </c>
      <c r="H63">
        <v>13.73</v>
      </c>
      <c r="I63">
        <v>5.23</v>
      </c>
      <c r="J63">
        <v>2.23</v>
      </c>
      <c r="K63">
        <v>2</v>
      </c>
      <c r="L63">
        <v>8</v>
      </c>
      <c r="M63">
        <v>-0.5</v>
      </c>
      <c r="N63">
        <v>-3.5</v>
      </c>
      <c r="O63" s="19">
        <f t="shared" si="0"/>
        <v>1</v>
      </c>
      <c r="Q63" s="34"/>
      <c r="R63" s="1" t="s">
        <v>1463</v>
      </c>
      <c r="S63" s="35">
        <v>4</v>
      </c>
      <c r="T63" s="26"/>
      <c r="U63" s="35">
        <v>4</v>
      </c>
      <c r="V63" s="26"/>
      <c r="W63" s="35">
        <v>4</v>
      </c>
      <c r="X63" s="26"/>
    </row>
    <row r="64" spans="1:24" x14ac:dyDescent="0.25">
      <c r="A64" s="39"/>
      <c r="B64" s="41"/>
      <c r="C64" t="s">
        <v>554</v>
      </c>
      <c r="D64" t="s">
        <v>271</v>
      </c>
      <c r="E64" s="3">
        <f t="shared" si="1"/>
        <v>2</v>
      </c>
      <c r="F64">
        <v>45.6</v>
      </c>
      <c r="G64">
        <v>4</v>
      </c>
      <c r="H64">
        <v>13.73</v>
      </c>
      <c r="I64">
        <v>5.23</v>
      </c>
      <c r="J64">
        <v>2.23</v>
      </c>
      <c r="K64">
        <v>2</v>
      </c>
      <c r="L64">
        <v>8</v>
      </c>
      <c r="M64">
        <v>-0.5</v>
      </c>
      <c r="N64">
        <v>-3.5</v>
      </c>
      <c r="O64" s="19">
        <f t="shared" si="0"/>
        <v>1</v>
      </c>
      <c r="Q64" s="32" t="s">
        <v>1</v>
      </c>
      <c r="R64" s="1" t="s">
        <v>1488</v>
      </c>
      <c r="S64" s="35">
        <v>2</v>
      </c>
      <c r="T64" s="36"/>
      <c r="U64" s="35">
        <v>3</v>
      </c>
      <c r="V64" s="26"/>
      <c r="W64" s="35">
        <v>3</v>
      </c>
      <c r="X64" s="26"/>
    </row>
    <row r="65" spans="1:24" x14ac:dyDescent="0.25">
      <c r="A65" s="39"/>
      <c r="B65" s="41"/>
      <c r="C65" t="s">
        <v>555</v>
      </c>
      <c r="D65" t="s">
        <v>271</v>
      </c>
      <c r="E65" s="3">
        <f t="shared" si="1"/>
        <v>2</v>
      </c>
      <c r="F65">
        <v>45.6</v>
      </c>
      <c r="G65">
        <v>4</v>
      </c>
      <c r="H65">
        <v>13.73</v>
      </c>
      <c r="I65">
        <v>5.23</v>
      </c>
      <c r="J65">
        <v>2.23</v>
      </c>
      <c r="K65">
        <v>2</v>
      </c>
      <c r="L65">
        <v>8</v>
      </c>
      <c r="M65">
        <v>-0.5</v>
      </c>
      <c r="N65">
        <v>-3.5</v>
      </c>
      <c r="O65" s="19">
        <f t="shared" si="0"/>
        <v>1</v>
      </c>
      <c r="Q65" s="33"/>
      <c r="R65" s="1" t="s">
        <v>1512</v>
      </c>
      <c r="S65" s="35">
        <v>2</v>
      </c>
      <c r="T65" s="36"/>
      <c r="U65" s="35">
        <v>4</v>
      </c>
      <c r="V65" s="36"/>
      <c r="W65" s="35">
        <v>4</v>
      </c>
      <c r="X65" s="36"/>
    </row>
    <row r="66" spans="1:24" x14ac:dyDescent="0.25">
      <c r="A66" s="39"/>
      <c r="B66" s="41"/>
      <c r="C66" t="s">
        <v>556</v>
      </c>
      <c r="D66" t="s">
        <v>271</v>
      </c>
      <c r="E66" s="3">
        <f t="shared" si="1"/>
        <v>2</v>
      </c>
      <c r="F66">
        <v>45.6</v>
      </c>
      <c r="G66">
        <v>4</v>
      </c>
      <c r="H66">
        <v>13.73</v>
      </c>
      <c r="I66">
        <v>5.23</v>
      </c>
      <c r="J66">
        <v>2.23</v>
      </c>
      <c r="K66">
        <v>2</v>
      </c>
      <c r="L66">
        <v>8</v>
      </c>
      <c r="M66">
        <v>-0.5</v>
      </c>
      <c r="N66">
        <v>-3.5</v>
      </c>
      <c r="O66" s="19">
        <f t="shared" si="0"/>
        <v>1</v>
      </c>
      <c r="Q66" s="34"/>
      <c r="R66" s="1" t="s">
        <v>1463</v>
      </c>
      <c r="S66" s="35">
        <v>4</v>
      </c>
      <c r="T66" s="36"/>
      <c r="U66" s="35">
        <v>4</v>
      </c>
      <c r="V66" s="36"/>
      <c r="W66" s="35">
        <v>4</v>
      </c>
      <c r="X66" s="36"/>
    </row>
    <row r="67" spans="1:24" x14ac:dyDescent="0.25">
      <c r="A67" s="39"/>
      <c r="B67" s="41"/>
      <c r="C67" t="s">
        <v>557</v>
      </c>
      <c r="D67" t="s">
        <v>271</v>
      </c>
      <c r="E67" s="3">
        <f t="shared" si="1"/>
        <v>2</v>
      </c>
      <c r="F67">
        <v>45.6</v>
      </c>
      <c r="G67">
        <v>4</v>
      </c>
      <c r="H67">
        <v>13.73</v>
      </c>
      <c r="I67">
        <v>5.23</v>
      </c>
      <c r="J67">
        <v>2.23</v>
      </c>
      <c r="K67">
        <v>2</v>
      </c>
      <c r="L67">
        <v>8</v>
      </c>
      <c r="M67">
        <v>-0.5</v>
      </c>
      <c r="N67">
        <v>-3.5</v>
      </c>
      <c r="O67" s="19">
        <f t="shared" ref="O67:O130" si="2">E67/K67</f>
        <v>1</v>
      </c>
      <c r="Q67" s="32" t="s">
        <v>2</v>
      </c>
      <c r="R67" s="1" t="s">
        <v>1488</v>
      </c>
      <c r="S67" s="35">
        <v>3</v>
      </c>
      <c r="T67" s="36"/>
      <c r="U67" s="35">
        <v>4</v>
      </c>
      <c r="V67" s="26"/>
      <c r="W67" s="35">
        <v>4</v>
      </c>
      <c r="X67" s="26"/>
    </row>
    <row r="68" spans="1:24" x14ac:dyDescent="0.25">
      <c r="A68" s="39"/>
      <c r="B68" s="41"/>
      <c r="C68" t="s">
        <v>558</v>
      </c>
      <c r="D68" t="s">
        <v>271</v>
      </c>
      <c r="E68" s="3">
        <f t="shared" ref="E68:E131" si="3">IF(D68="Muito Fraca", 1, IF(D68="Fraca", 2, IF(D68="Média", 3, 4)))</f>
        <v>2</v>
      </c>
      <c r="F68">
        <v>45.6</v>
      </c>
      <c r="G68">
        <v>4</v>
      </c>
      <c r="H68">
        <v>13.73</v>
      </c>
      <c r="I68">
        <v>5.23</v>
      </c>
      <c r="J68">
        <v>2.23</v>
      </c>
      <c r="K68">
        <v>2</v>
      </c>
      <c r="L68">
        <v>8</v>
      </c>
      <c r="M68">
        <v>-0.5</v>
      </c>
      <c r="N68">
        <v>-3.5</v>
      </c>
      <c r="O68" s="19">
        <f t="shared" si="2"/>
        <v>1</v>
      </c>
      <c r="Q68" s="33"/>
      <c r="R68" s="1" t="s">
        <v>1512</v>
      </c>
      <c r="S68" s="35">
        <v>2</v>
      </c>
      <c r="T68" s="36"/>
      <c r="U68" s="35">
        <v>4</v>
      </c>
      <c r="V68" s="26"/>
      <c r="W68" s="35">
        <v>4</v>
      </c>
      <c r="X68" s="26"/>
    </row>
    <row r="69" spans="1:24" x14ac:dyDescent="0.25">
      <c r="A69" s="39"/>
      <c r="B69" s="41"/>
      <c r="C69" t="s">
        <v>559</v>
      </c>
      <c r="D69" t="s">
        <v>271</v>
      </c>
      <c r="E69" s="3">
        <f t="shared" si="3"/>
        <v>2</v>
      </c>
      <c r="F69">
        <v>45.6</v>
      </c>
      <c r="G69">
        <v>4</v>
      </c>
      <c r="H69">
        <v>13.73</v>
      </c>
      <c r="I69">
        <v>5.23</v>
      </c>
      <c r="J69">
        <v>2.23</v>
      </c>
      <c r="K69">
        <v>2</v>
      </c>
      <c r="L69">
        <v>8</v>
      </c>
      <c r="M69">
        <v>-0.5</v>
      </c>
      <c r="N69">
        <v>-3.5</v>
      </c>
      <c r="O69" s="19">
        <f t="shared" si="2"/>
        <v>1</v>
      </c>
      <c r="Q69" s="34"/>
      <c r="R69" s="1" t="s">
        <v>1463</v>
      </c>
      <c r="S69" s="35">
        <v>4</v>
      </c>
      <c r="T69" s="36"/>
      <c r="U69" s="35">
        <v>4</v>
      </c>
      <c r="V69" s="26"/>
      <c r="W69" s="35">
        <v>4</v>
      </c>
      <c r="X69" s="26"/>
    </row>
    <row r="70" spans="1:24" x14ac:dyDescent="0.25">
      <c r="A70" s="39"/>
      <c r="B70" s="41"/>
      <c r="C70" t="s">
        <v>560</v>
      </c>
      <c r="D70" t="s">
        <v>271</v>
      </c>
      <c r="E70" s="3">
        <f t="shared" si="3"/>
        <v>2</v>
      </c>
      <c r="F70">
        <v>45.6</v>
      </c>
      <c r="G70">
        <v>4</v>
      </c>
      <c r="H70">
        <v>13.73</v>
      </c>
      <c r="I70">
        <v>5.23</v>
      </c>
      <c r="J70">
        <v>2.23</v>
      </c>
      <c r="K70">
        <v>2</v>
      </c>
      <c r="L70">
        <v>8</v>
      </c>
      <c r="M70">
        <v>-0.5</v>
      </c>
      <c r="N70">
        <v>-3.5</v>
      </c>
      <c r="O70" s="19">
        <f t="shared" si="2"/>
        <v>1</v>
      </c>
      <c r="Q70" s="32" t="s">
        <v>1491</v>
      </c>
      <c r="R70" s="1" t="s">
        <v>1488</v>
      </c>
      <c r="S70" s="35">
        <v>3</v>
      </c>
      <c r="T70" s="36"/>
      <c r="U70" s="35">
        <v>4</v>
      </c>
      <c r="V70" s="26"/>
      <c r="W70" s="35">
        <v>4</v>
      </c>
      <c r="X70" s="26"/>
    </row>
    <row r="71" spans="1:24" x14ac:dyDescent="0.25">
      <c r="A71" s="39"/>
      <c r="B71" s="41"/>
      <c r="C71" t="s">
        <v>561</v>
      </c>
      <c r="D71" t="s">
        <v>271</v>
      </c>
      <c r="E71" s="3">
        <f t="shared" si="3"/>
        <v>2</v>
      </c>
      <c r="F71">
        <v>45.6</v>
      </c>
      <c r="G71">
        <v>4</v>
      </c>
      <c r="H71">
        <v>13.73</v>
      </c>
      <c r="I71">
        <v>5.23</v>
      </c>
      <c r="J71">
        <v>2.23</v>
      </c>
      <c r="K71">
        <v>2</v>
      </c>
      <c r="L71">
        <v>8</v>
      </c>
      <c r="M71">
        <v>-0.5</v>
      </c>
      <c r="N71">
        <v>-3.5</v>
      </c>
      <c r="O71" s="19">
        <f t="shared" si="2"/>
        <v>1</v>
      </c>
      <c r="Q71" s="33"/>
      <c r="R71" s="1" t="s">
        <v>1512</v>
      </c>
      <c r="S71" s="35">
        <v>2</v>
      </c>
      <c r="T71" s="36"/>
      <c r="U71" s="35">
        <v>4</v>
      </c>
      <c r="V71" s="26"/>
      <c r="W71" s="35">
        <v>4</v>
      </c>
      <c r="X71" s="26"/>
    </row>
    <row r="72" spans="1:24" x14ac:dyDescent="0.25">
      <c r="A72" s="39"/>
      <c r="B72" s="41"/>
      <c r="C72" t="s">
        <v>562</v>
      </c>
      <c r="D72" t="s">
        <v>271</v>
      </c>
      <c r="E72" s="3">
        <f t="shared" si="3"/>
        <v>2</v>
      </c>
      <c r="F72">
        <v>45.6</v>
      </c>
      <c r="G72">
        <v>4</v>
      </c>
      <c r="H72">
        <v>13.73</v>
      </c>
      <c r="I72">
        <v>5.23</v>
      </c>
      <c r="J72">
        <v>2.23</v>
      </c>
      <c r="K72">
        <v>2</v>
      </c>
      <c r="L72">
        <v>8</v>
      </c>
      <c r="M72">
        <v>-0.5</v>
      </c>
      <c r="N72">
        <v>-3.5</v>
      </c>
      <c r="O72" s="19">
        <f t="shared" si="2"/>
        <v>1</v>
      </c>
      <c r="Q72" s="34"/>
      <c r="R72" s="1" t="s">
        <v>1463</v>
      </c>
      <c r="S72" s="35">
        <v>4</v>
      </c>
      <c r="T72" s="36"/>
      <c r="U72" s="35">
        <v>4</v>
      </c>
      <c r="V72" s="26"/>
      <c r="W72" s="35">
        <v>4</v>
      </c>
      <c r="X72" s="26"/>
    </row>
    <row r="73" spans="1:24" x14ac:dyDescent="0.25">
      <c r="A73" s="39"/>
      <c r="B73" s="41"/>
      <c r="C73" t="s">
        <v>563</v>
      </c>
      <c r="D73" t="s">
        <v>271</v>
      </c>
      <c r="E73" s="3">
        <f t="shared" si="3"/>
        <v>2</v>
      </c>
      <c r="F73">
        <v>45.6</v>
      </c>
      <c r="G73">
        <v>4</v>
      </c>
      <c r="H73">
        <v>13.73</v>
      </c>
      <c r="I73">
        <v>5.23</v>
      </c>
      <c r="J73">
        <v>2.23</v>
      </c>
      <c r="K73">
        <v>2</v>
      </c>
      <c r="L73">
        <v>8</v>
      </c>
      <c r="M73">
        <v>-0.5</v>
      </c>
      <c r="N73">
        <v>-3.5</v>
      </c>
      <c r="O73" s="19">
        <f t="shared" si="2"/>
        <v>1</v>
      </c>
    </row>
    <row r="74" spans="1:24" x14ac:dyDescent="0.25">
      <c r="A74" s="39"/>
      <c r="B74" s="41"/>
      <c r="C74" t="s">
        <v>564</v>
      </c>
      <c r="D74" t="s">
        <v>271</v>
      </c>
      <c r="E74" s="3">
        <f t="shared" si="3"/>
        <v>2</v>
      </c>
      <c r="F74">
        <v>45.6</v>
      </c>
      <c r="G74">
        <v>4</v>
      </c>
      <c r="H74">
        <v>13.73</v>
      </c>
      <c r="I74">
        <v>5.23</v>
      </c>
      <c r="J74">
        <v>2.23</v>
      </c>
      <c r="K74">
        <v>2</v>
      </c>
      <c r="L74">
        <v>8</v>
      </c>
      <c r="M74">
        <v>-0.5</v>
      </c>
      <c r="N74">
        <v>-3.5</v>
      </c>
      <c r="O74" s="19">
        <f t="shared" si="2"/>
        <v>1</v>
      </c>
      <c r="S74" s="30" t="s">
        <v>1460</v>
      </c>
      <c r="T74" s="30"/>
      <c r="U74" s="30" t="s">
        <v>1461</v>
      </c>
      <c r="V74" s="30"/>
      <c r="W74" s="30" t="s">
        <v>1462</v>
      </c>
      <c r="X74" s="30"/>
    </row>
    <row r="75" spans="1:24" ht="15" customHeight="1" x14ac:dyDescent="0.25">
      <c r="A75" s="39"/>
      <c r="B75" s="41"/>
      <c r="C75" t="s">
        <v>565</v>
      </c>
      <c r="D75" t="s">
        <v>271</v>
      </c>
      <c r="E75" s="3">
        <f t="shared" si="3"/>
        <v>2</v>
      </c>
      <c r="F75">
        <v>45.6</v>
      </c>
      <c r="G75">
        <v>4</v>
      </c>
      <c r="H75">
        <v>13.73</v>
      </c>
      <c r="I75">
        <v>5.23</v>
      </c>
      <c r="J75">
        <v>2.23</v>
      </c>
      <c r="K75">
        <v>2</v>
      </c>
      <c r="L75">
        <v>8</v>
      </c>
      <c r="M75">
        <v>-0.5</v>
      </c>
      <c r="N75">
        <v>-3.5</v>
      </c>
      <c r="O75" s="19">
        <f t="shared" si="2"/>
        <v>1</v>
      </c>
      <c r="Q75" s="31" t="s">
        <v>0</v>
      </c>
      <c r="R75" s="1" t="s">
        <v>1493</v>
      </c>
      <c r="S75" s="24">
        <f>AVERAGE(L$2:L$21)</f>
        <v>7.9969999999999999</v>
      </c>
      <c r="T75" s="25"/>
      <c r="U75" s="24">
        <f>AVERAGE(L$22:L$41)</f>
        <v>11.909000000000001</v>
      </c>
      <c r="V75" s="25"/>
      <c r="W75" s="24">
        <f>AVERAGE(L$42:L$61)</f>
        <v>15.957999999999998</v>
      </c>
      <c r="X75" s="25"/>
    </row>
    <row r="76" spans="1:24" x14ac:dyDescent="0.25">
      <c r="A76" s="39"/>
      <c r="B76" s="41"/>
      <c r="C76" t="s">
        <v>566</v>
      </c>
      <c r="D76" t="s">
        <v>271</v>
      </c>
      <c r="E76" s="3">
        <f t="shared" si="3"/>
        <v>2</v>
      </c>
      <c r="F76">
        <v>45.6</v>
      </c>
      <c r="G76">
        <v>4</v>
      </c>
      <c r="H76">
        <v>13.73</v>
      </c>
      <c r="I76">
        <v>5.23</v>
      </c>
      <c r="J76">
        <v>2.23</v>
      </c>
      <c r="K76">
        <v>2</v>
      </c>
      <c r="L76">
        <v>8</v>
      </c>
      <c r="M76">
        <v>-0.5</v>
      </c>
      <c r="N76">
        <v>-3.5</v>
      </c>
      <c r="O76" s="19">
        <f t="shared" si="2"/>
        <v>1</v>
      </c>
      <c r="Q76" s="31"/>
      <c r="R76" s="1" t="s">
        <v>1467</v>
      </c>
      <c r="S76" s="24">
        <f>AVERAGE(M$2:M$21)</f>
        <v>-0.503</v>
      </c>
      <c r="T76" s="25"/>
      <c r="U76" s="24">
        <f>AVERAGE(M$22:M$41)</f>
        <v>3.4095</v>
      </c>
      <c r="V76" s="25"/>
      <c r="W76" s="24">
        <f>AVERAGE(M$42:M$61)</f>
        <v>7.4580000000000002</v>
      </c>
      <c r="X76" s="25"/>
    </row>
    <row r="77" spans="1:24" x14ac:dyDescent="0.25">
      <c r="A77" s="39"/>
      <c r="B77" s="41"/>
      <c r="C77" t="s">
        <v>567</v>
      </c>
      <c r="D77" t="s">
        <v>271</v>
      </c>
      <c r="E77" s="3">
        <f t="shared" si="3"/>
        <v>2</v>
      </c>
      <c r="F77">
        <v>45.6</v>
      </c>
      <c r="G77">
        <v>4</v>
      </c>
      <c r="H77">
        <v>13.73</v>
      </c>
      <c r="I77">
        <v>5.23</v>
      </c>
      <c r="J77">
        <v>2.23</v>
      </c>
      <c r="K77">
        <v>2</v>
      </c>
      <c r="L77">
        <v>8</v>
      </c>
      <c r="M77">
        <v>-0.5</v>
      </c>
      <c r="N77">
        <v>-3.5</v>
      </c>
      <c r="O77" s="19">
        <f t="shared" si="2"/>
        <v>1</v>
      </c>
      <c r="Q77" s="31"/>
      <c r="R77" s="1" t="s">
        <v>1468</v>
      </c>
      <c r="S77" s="24">
        <f>AVERAGE(N$2:N$21)</f>
        <v>-3.5030000000000001</v>
      </c>
      <c r="T77" s="25"/>
      <c r="U77" s="24">
        <f>AVERAGE(N$22:N$41)</f>
        <v>0.40949999999999998</v>
      </c>
      <c r="V77" s="25"/>
      <c r="W77" s="24">
        <f>AVERAGE(N$42:N$61)</f>
        <v>4.4580000000000002</v>
      </c>
      <c r="X77" s="25"/>
    </row>
    <row r="78" spans="1:24" x14ac:dyDescent="0.25">
      <c r="A78" s="39"/>
      <c r="B78" s="41"/>
      <c r="C78" t="s">
        <v>568</v>
      </c>
      <c r="D78" t="s">
        <v>271</v>
      </c>
      <c r="E78" s="3">
        <f t="shared" si="3"/>
        <v>2</v>
      </c>
      <c r="F78">
        <v>45.6</v>
      </c>
      <c r="G78">
        <v>4</v>
      </c>
      <c r="H78">
        <v>13.73</v>
      </c>
      <c r="I78">
        <v>5.23</v>
      </c>
      <c r="J78">
        <v>2.23</v>
      </c>
      <c r="K78">
        <v>2</v>
      </c>
      <c r="L78">
        <v>8</v>
      </c>
      <c r="M78">
        <v>-0.5</v>
      </c>
      <c r="N78">
        <v>-3.5</v>
      </c>
      <c r="O78" s="19">
        <f t="shared" si="2"/>
        <v>1</v>
      </c>
      <c r="Q78" s="31"/>
      <c r="R78" s="1" t="s">
        <v>1464</v>
      </c>
      <c r="S78" s="24">
        <f>AVERAGE(H$2:H$21)</f>
        <v>11.319999999999997</v>
      </c>
      <c r="T78" s="26"/>
      <c r="U78" s="24">
        <f>AVERAGE(H$22:H$41)</f>
        <v>16.98</v>
      </c>
      <c r="V78" s="25"/>
      <c r="W78" s="24">
        <f>AVERAGE(H$42:H$61)</f>
        <v>22.639999999999993</v>
      </c>
      <c r="X78" s="25"/>
    </row>
    <row r="79" spans="1:24" x14ac:dyDescent="0.25">
      <c r="A79" s="39"/>
      <c r="B79" s="41"/>
      <c r="C79" t="s">
        <v>569</v>
      </c>
      <c r="D79" t="s">
        <v>271</v>
      </c>
      <c r="E79" s="3">
        <f t="shared" si="3"/>
        <v>2</v>
      </c>
      <c r="F79">
        <v>45.6</v>
      </c>
      <c r="G79">
        <v>4</v>
      </c>
      <c r="H79">
        <v>13.73</v>
      </c>
      <c r="I79">
        <v>5.23</v>
      </c>
      <c r="J79">
        <v>2.23</v>
      </c>
      <c r="K79">
        <v>2</v>
      </c>
      <c r="L79">
        <v>8</v>
      </c>
      <c r="M79">
        <v>-0.5</v>
      </c>
      <c r="N79">
        <v>-3.5</v>
      </c>
      <c r="O79" s="19">
        <f t="shared" si="2"/>
        <v>1</v>
      </c>
      <c r="Q79" s="31"/>
      <c r="R79" s="1" t="s">
        <v>1465</v>
      </c>
      <c r="S79" s="24">
        <f>AVERAGE(I$2:I$21)</f>
        <v>2.82</v>
      </c>
      <c r="T79" s="26"/>
      <c r="U79" s="24">
        <f>AVERAGE(I$22:I$41)</f>
        <v>8.48</v>
      </c>
      <c r="V79" s="25"/>
      <c r="W79" s="24">
        <f>AVERAGE(I$42:I$61)</f>
        <v>14.139999999999995</v>
      </c>
      <c r="X79" s="25"/>
    </row>
    <row r="80" spans="1:24" x14ac:dyDescent="0.25">
      <c r="A80" s="39"/>
      <c r="B80" s="41"/>
      <c r="C80" t="s">
        <v>570</v>
      </c>
      <c r="D80" t="s">
        <v>271</v>
      </c>
      <c r="E80" s="3">
        <f t="shared" si="3"/>
        <v>2</v>
      </c>
      <c r="F80">
        <v>45.6</v>
      </c>
      <c r="G80">
        <v>4</v>
      </c>
      <c r="H80">
        <v>13.73</v>
      </c>
      <c r="I80">
        <v>5.23</v>
      </c>
      <c r="J80">
        <v>2.23</v>
      </c>
      <c r="K80">
        <v>2</v>
      </c>
      <c r="L80">
        <v>8</v>
      </c>
      <c r="M80">
        <v>-0.5</v>
      </c>
      <c r="N80">
        <v>-3.5</v>
      </c>
      <c r="O80" s="19">
        <f t="shared" si="2"/>
        <v>1</v>
      </c>
      <c r="Q80" s="31"/>
      <c r="R80" s="1" t="s">
        <v>1466</v>
      </c>
      <c r="S80" s="24">
        <f>AVERAGE(J$2:J$21)</f>
        <v>-0.18000000000000005</v>
      </c>
      <c r="T80" s="26"/>
      <c r="U80" s="24">
        <f>AVERAGE(J$22:J$41)</f>
        <v>5.4800000000000022</v>
      </c>
      <c r="V80" s="25"/>
      <c r="W80" s="24">
        <f>AVERAGE(J$42:J$61)</f>
        <v>11.139999999999995</v>
      </c>
      <c r="X80" s="25"/>
    </row>
    <row r="81" spans="1:24" ht="15" customHeight="1" x14ac:dyDescent="0.25">
      <c r="A81" s="39"/>
      <c r="B81" s="42"/>
      <c r="C81" s="10" t="s">
        <v>571</v>
      </c>
      <c r="D81" s="10" t="s">
        <v>271</v>
      </c>
      <c r="E81" s="11">
        <f t="shared" si="3"/>
        <v>2</v>
      </c>
      <c r="F81" s="10">
        <v>45.6</v>
      </c>
      <c r="G81" s="10">
        <v>4</v>
      </c>
      <c r="H81" s="10">
        <v>13.73</v>
      </c>
      <c r="I81" s="10">
        <v>5.23</v>
      </c>
      <c r="J81" s="10">
        <v>2.23</v>
      </c>
      <c r="K81" s="10">
        <v>2</v>
      </c>
      <c r="L81" s="10">
        <v>8</v>
      </c>
      <c r="M81" s="10">
        <v>-0.5</v>
      </c>
      <c r="N81" s="10">
        <v>-3.5</v>
      </c>
      <c r="O81" s="20">
        <f t="shared" si="2"/>
        <v>1</v>
      </c>
      <c r="Q81" s="29" t="s">
        <v>1</v>
      </c>
      <c r="R81" s="1" t="s">
        <v>1493</v>
      </c>
      <c r="S81" s="24">
        <f>AVERAGE(L$62:L$81)</f>
        <v>8</v>
      </c>
      <c r="T81" s="25"/>
      <c r="U81" s="24">
        <f>AVERAGE(L$82:L$101)</f>
        <v>12</v>
      </c>
      <c r="V81" s="25"/>
      <c r="W81" s="24">
        <f>AVERAGE(L$102:L$121)</f>
        <v>15.972</v>
      </c>
      <c r="X81" s="25"/>
    </row>
    <row r="82" spans="1:24" x14ac:dyDescent="0.25">
      <c r="A82" s="39"/>
      <c r="B82" s="40" t="s">
        <v>6</v>
      </c>
      <c r="C82" s="7" t="s">
        <v>572</v>
      </c>
      <c r="D82" s="7" t="s">
        <v>51</v>
      </c>
      <c r="E82" s="3">
        <f t="shared" si="3"/>
        <v>3</v>
      </c>
      <c r="F82" s="7">
        <v>68.41</v>
      </c>
      <c r="G82" s="7">
        <v>4</v>
      </c>
      <c r="H82" s="7">
        <v>20.59</v>
      </c>
      <c r="I82" s="7">
        <v>12.09</v>
      </c>
      <c r="J82" s="7">
        <v>9.09</v>
      </c>
      <c r="K82" s="7">
        <v>4</v>
      </c>
      <c r="L82" s="7">
        <v>12</v>
      </c>
      <c r="M82" s="7">
        <v>3.5</v>
      </c>
      <c r="N82" s="7">
        <v>0.5</v>
      </c>
      <c r="O82" s="18">
        <f t="shared" si="2"/>
        <v>0.75</v>
      </c>
      <c r="Q82" s="29"/>
      <c r="R82" s="1" t="s">
        <v>1467</v>
      </c>
      <c r="S82" s="24">
        <f>AVERAGE(M$62:M$81)</f>
        <v>-0.5</v>
      </c>
      <c r="T82" s="25"/>
      <c r="U82" s="24">
        <f>AVERAGE(M$82:M$101)</f>
        <v>3.5</v>
      </c>
      <c r="V82" s="25"/>
      <c r="W82" s="24">
        <f>AVERAGE(M$102:M$121)</f>
        <v>7.4719999999999995</v>
      </c>
      <c r="X82" s="25"/>
    </row>
    <row r="83" spans="1:24" x14ac:dyDescent="0.25">
      <c r="A83" s="39"/>
      <c r="B83" s="41"/>
      <c r="C83" t="s">
        <v>573</v>
      </c>
      <c r="D83" t="s">
        <v>51</v>
      </c>
      <c r="E83" s="3">
        <f t="shared" si="3"/>
        <v>3</v>
      </c>
      <c r="F83">
        <v>68.41</v>
      </c>
      <c r="G83">
        <v>4</v>
      </c>
      <c r="H83">
        <v>20.59</v>
      </c>
      <c r="I83">
        <v>12.09</v>
      </c>
      <c r="J83">
        <v>9.09</v>
      </c>
      <c r="K83">
        <v>4</v>
      </c>
      <c r="L83">
        <v>12</v>
      </c>
      <c r="M83">
        <v>3.5</v>
      </c>
      <c r="N83">
        <v>0.5</v>
      </c>
      <c r="O83" s="19">
        <f t="shared" si="2"/>
        <v>0.75</v>
      </c>
      <c r="Q83" s="29"/>
      <c r="R83" s="1" t="s">
        <v>1468</v>
      </c>
      <c r="S83" s="24">
        <f>AVERAGE(N$62:N$81)</f>
        <v>-3.5</v>
      </c>
      <c r="T83" s="25"/>
      <c r="U83" s="24">
        <f>AVERAGE(N$82:N$101)</f>
        <v>0.5</v>
      </c>
      <c r="V83" s="25"/>
      <c r="W83" s="24">
        <f>AVERAGE(N$102:N$121)</f>
        <v>4.4719999999999995</v>
      </c>
      <c r="X83" s="25"/>
    </row>
    <row r="84" spans="1:24" x14ac:dyDescent="0.25">
      <c r="A84" s="39"/>
      <c r="B84" s="41"/>
      <c r="C84" t="s">
        <v>574</v>
      </c>
      <c r="D84" t="s">
        <v>51</v>
      </c>
      <c r="E84" s="3">
        <f t="shared" si="3"/>
        <v>3</v>
      </c>
      <c r="F84">
        <v>68.41</v>
      </c>
      <c r="G84">
        <v>4</v>
      </c>
      <c r="H84">
        <v>20.59</v>
      </c>
      <c r="I84">
        <v>12.09</v>
      </c>
      <c r="J84">
        <v>9.09</v>
      </c>
      <c r="K84">
        <v>4</v>
      </c>
      <c r="L84">
        <v>12</v>
      </c>
      <c r="M84">
        <v>3.5</v>
      </c>
      <c r="N84">
        <v>0.5</v>
      </c>
      <c r="O84" s="19">
        <f t="shared" si="2"/>
        <v>0.75</v>
      </c>
      <c r="Q84" s="29"/>
      <c r="R84" s="1" t="s">
        <v>1464</v>
      </c>
      <c r="S84" s="24">
        <f>AVERAGE(H$62:H$81)</f>
        <v>13.729999999999999</v>
      </c>
      <c r="T84" s="25"/>
      <c r="U84" s="24">
        <f>AVERAGE(H$82:H$101)</f>
        <v>20.589999999999993</v>
      </c>
      <c r="V84" s="25"/>
      <c r="W84" s="24">
        <f>AVERAGE(H$102:H$121)</f>
        <v>27.459999999999997</v>
      </c>
      <c r="X84" s="25"/>
    </row>
    <row r="85" spans="1:24" x14ac:dyDescent="0.25">
      <c r="A85" s="39"/>
      <c r="B85" s="41"/>
      <c r="C85" t="s">
        <v>575</v>
      </c>
      <c r="D85" t="s">
        <v>51</v>
      </c>
      <c r="E85" s="3">
        <f t="shared" si="3"/>
        <v>3</v>
      </c>
      <c r="F85">
        <v>68.41</v>
      </c>
      <c r="G85">
        <v>4</v>
      </c>
      <c r="H85">
        <v>20.59</v>
      </c>
      <c r="I85">
        <v>12.09</v>
      </c>
      <c r="J85">
        <v>9.09</v>
      </c>
      <c r="K85">
        <v>4</v>
      </c>
      <c r="L85">
        <v>12</v>
      </c>
      <c r="M85">
        <v>3.5</v>
      </c>
      <c r="N85">
        <v>0.5</v>
      </c>
      <c r="O85" s="19">
        <f t="shared" si="2"/>
        <v>0.75</v>
      </c>
      <c r="Q85" s="29"/>
      <c r="R85" s="1" t="s">
        <v>1465</v>
      </c>
      <c r="S85" s="24">
        <f>AVERAGE(I$62:I$81)</f>
        <v>5.2300000000000022</v>
      </c>
      <c r="T85" s="25"/>
      <c r="U85" s="24">
        <f>AVERAGE(I$82:I$101)</f>
        <v>12.090000000000002</v>
      </c>
      <c r="V85" s="25"/>
      <c r="W85" s="24">
        <f>AVERAGE(I$102:I$121)</f>
        <v>18.959999999999997</v>
      </c>
      <c r="X85" s="25"/>
    </row>
    <row r="86" spans="1:24" x14ac:dyDescent="0.25">
      <c r="A86" s="39"/>
      <c r="B86" s="41"/>
      <c r="C86" t="s">
        <v>576</v>
      </c>
      <c r="D86" t="s">
        <v>51</v>
      </c>
      <c r="E86" s="3">
        <f t="shared" si="3"/>
        <v>3</v>
      </c>
      <c r="F86">
        <v>68.41</v>
      </c>
      <c r="G86">
        <v>4</v>
      </c>
      <c r="H86">
        <v>20.59</v>
      </c>
      <c r="I86">
        <v>12.09</v>
      </c>
      <c r="J86">
        <v>9.09</v>
      </c>
      <c r="K86">
        <v>4</v>
      </c>
      <c r="L86">
        <v>12</v>
      </c>
      <c r="M86">
        <v>3.5</v>
      </c>
      <c r="N86">
        <v>0.5</v>
      </c>
      <c r="O86" s="19">
        <f t="shared" si="2"/>
        <v>0.75</v>
      </c>
      <c r="Q86" s="29"/>
      <c r="R86" s="1" t="s">
        <v>1466</v>
      </c>
      <c r="S86" s="24">
        <f>AVERAGE(J$62:J$81)</f>
        <v>2.2299999999999995</v>
      </c>
      <c r="T86" s="25"/>
      <c r="U86" s="24">
        <f>AVERAGE(J$82:J$101)</f>
        <v>9.0900000000000016</v>
      </c>
      <c r="V86" s="25"/>
      <c r="W86" s="24">
        <f>AVERAGE(J$102:J$121)</f>
        <v>15.960000000000003</v>
      </c>
      <c r="X86" s="25"/>
    </row>
    <row r="87" spans="1:24" ht="15" customHeight="1" x14ac:dyDescent="0.25">
      <c r="A87" s="39"/>
      <c r="B87" s="41"/>
      <c r="C87" t="s">
        <v>577</v>
      </c>
      <c r="D87" t="s">
        <v>51</v>
      </c>
      <c r="E87" s="3">
        <f t="shared" si="3"/>
        <v>3</v>
      </c>
      <c r="F87">
        <v>68.41</v>
      </c>
      <c r="G87">
        <v>4</v>
      </c>
      <c r="H87">
        <v>20.59</v>
      </c>
      <c r="I87">
        <v>12.09</v>
      </c>
      <c r="J87">
        <v>9.09</v>
      </c>
      <c r="K87">
        <v>4</v>
      </c>
      <c r="L87">
        <v>12</v>
      </c>
      <c r="M87">
        <v>3.5</v>
      </c>
      <c r="N87">
        <v>0.5</v>
      </c>
      <c r="O87" s="19">
        <f t="shared" si="2"/>
        <v>0.75</v>
      </c>
      <c r="Q87" s="28" t="s">
        <v>2</v>
      </c>
      <c r="R87" s="1" t="s">
        <v>1493</v>
      </c>
      <c r="S87" s="24">
        <f>AVERAGE(L$122:L$141)</f>
        <v>8</v>
      </c>
      <c r="T87" s="25"/>
      <c r="U87" s="24">
        <f>AVERAGE(L$142:L$161)</f>
        <v>11.95</v>
      </c>
      <c r="V87" s="25"/>
      <c r="W87" s="24">
        <f>AVERAGE(L$162:L$181)</f>
        <v>16</v>
      </c>
      <c r="X87" s="25"/>
    </row>
    <row r="88" spans="1:24" x14ac:dyDescent="0.25">
      <c r="A88" s="39"/>
      <c r="B88" s="41"/>
      <c r="C88" t="s">
        <v>578</v>
      </c>
      <c r="D88" t="s">
        <v>51</v>
      </c>
      <c r="E88" s="3">
        <f t="shared" si="3"/>
        <v>3</v>
      </c>
      <c r="F88">
        <v>68.41</v>
      </c>
      <c r="G88">
        <v>4</v>
      </c>
      <c r="H88">
        <v>20.59</v>
      </c>
      <c r="I88">
        <v>12.09</v>
      </c>
      <c r="J88">
        <v>9.09</v>
      </c>
      <c r="K88">
        <v>4</v>
      </c>
      <c r="L88">
        <v>12</v>
      </c>
      <c r="M88">
        <v>3.5</v>
      </c>
      <c r="N88">
        <v>0.5</v>
      </c>
      <c r="O88" s="19">
        <f t="shared" si="2"/>
        <v>0.75</v>
      </c>
      <c r="Q88" s="28"/>
      <c r="R88" s="1" t="s">
        <v>1467</v>
      </c>
      <c r="S88" s="24">
        <f>AVERAGE(M$122:M$141)</f>
        <v>-0.5</v>
      </c>
      <c r="T88" s="25"/>
      <c r="U88" s="24">
        <f>AVERAGE(M$142:M$161)</f>
        <v>3.45</v>
      </c>
      <c r="V88" s="25"/>
      <c r="W88" s="24">
        <f>AVERAGE(M$162:M$181)</f>
        <v>7.5</v>
      </c>
      <c r="X88" s="25"/>
    </row>
    <row r="89" spans="1:24" x14ac:dyDescent="0.25">
      <c r="A89" s="39"/>
      <c r="B89" s="41"/>
      <c r="C89" t="s">
        <v>579</v>
      </c>
      <c r="D89" t="s">
        <v>51</v>
      </c>
      <c r="E89" s="3">
        <f t="shared" si="3"/>
        <v>3</v>
      </c>
      <c r="F89">
        <v>68.41</v>
      </c>
      <c r="G89">
        <v>4</v>
      </c>
      <c r="H89">
        <v>20.59</v>
      </c>
      <c r="I89">
        <v>12.09</v>
      </c>
      <c r="J89">
        <v>9.09</v>
      </c>
      <c r="K89">
        <v>4</v>
      </c>
      <c r="L89">
        <v>12</v>
      </c>
      <c r="M89">
        <v>3.5</v>
      </c>
      <c r="N89">
        <v>0.5</v>
      </c>
      <c r="O89" s="19">
        <f t="shared" si="2"/>
        <v>0.75</v>
      </c>
      <c r="Q89" s="28"/>
      <c r="R89" s="1" t="s">
        <v>1468</v>
      </c>
      <c r="S89" s="24">
        <f>AVERAGE(N$122:N$141)</f>
        <v>-3.5</v>
      </c>
      <c r="T89" s="25"/>
      <c r="U89" s="24">
        <f>AVERAGE(N$142:N$161)</f>
        <v>0.45</v>
      </c>
      <c r="V89" s="25"/>
      <c r="W89" s="24">
        <f>AVERAGE(N$162:N$181)</f>
        <v>4.5</v>
      </c>
      <c r="X89" s="25"/>
    </row>
    <row r="90" spans="1:24" x14ac:dyDescent="0.25">
      <c r="A90" s="39"/>
      <c r="B90" s="41"/>
      <c r="C90" t="s">
        <v>580</v>
      </c>
      <c r="D90" t="s">
        <v>51</v>
      </c>
      <c r="E90" s="3">
        <f t="shared" si="3"/>
        <v>3</v>
      </c>
      <c r="F90">
        <v>68.41</v>
      </c>
      <c r="G90">
        <v>4</v>
      </c>
      <c r="H90">
        <v>20.59</v>
      </c>
      <c r="I90">
        <v>12.09</v>
      </c>
      <c r="J90">
        <v>9.09</v>
      </c>
      <c r="K90">
        <v>4</v>
      </c>
      <c r="L90">
        <v>12</v>
      </c>
      <c r="M90">
        <v>3.5</v>
      </c>
      <c r="N90">
        <v>0.5</v>
      </c>
      <c r="O90" s="19">
        <f t="shared" si="2"/>
        <v>0.75</v>
      </c>
      <c r="Q90" s="28"/>
      <c r="R90" s="1" t="s">
        <v>1464</v>
      </c>
      <c r="S90" s="24">
        <f>AVERAGE(H$122:H$141)</f>
        <v>14.917499999999993</v>
      </c>
      <c r="T90" s="25"/>
      <c r="U90" s="24">
        <f>AVERAGE(H$142:H$161)</f>
        <v>22.299999999999997</v>
      </c>
      <c r="V90" s="25"/>
      <c r="W90" s="24">
        <f>AVERAGE(H$162:H$181)</f>
        <v>29.735000000000003</v>
      </c>
      <c r="X90" s="25"/>
    </row>
    <row r="91" spans="1:24" x14ac:dyDescent="0.25">
      <c r="A91" s="39"/>
      <c r="B91" s="41"/>
      <c r="C91" t="s">
        <v>581</v>
      </c>
      <c r="D91" t="s">
        <v>51</v>
      </c>
      <c r="E91" s="3">
        <f t="shared" si="3"/>
        <v>3</v>
      </c>
      <c r="F91">
        <v>68.41</v>
      </c>
      <c r="G91">
        <v>4</v>
      </c>
      <c r="H91">
        <v>20.59</v>
      </c>
      <c r="I91">
        <v>12.09</v>
      </c>
      <c r="J91">
        <v>9.09</v>
      </c>
      <c r="K91">
        <v>4</v>
      </c>
      <c r="L91">
        <v>12</v>
      </c>
      <c r="M91">
        <v>3.5</v>
      </c>
      <c r="N91">
        <v>0.5</v>
      </c>
      <c r="O91" s="19">
        <f t="shared" si="2"/>
        <v>0.75</v>
      </c>
      <c r="Q91" s="28"/>
      <c r="R91" s="1" t="s">
        <v>1465</v>
      </c>
      <c r="S91" s="24">
        <f>AVERAGE(I$122:I$141)</f>
        <v>6.4230000000000018</v>
      </c>
      <c r="T91" s="25"/>
      <c r="U91" s="24">
        <f>AVERAGE(I$142:I$161)</f>
        <v>13.799999999999997</v>
      </c>
      <c r="V91" s="25"/>
      <c r="W91" s="24">
        <f>AVERAGE(I$162:I$181)</f>
        <v>21.235000000000007</v>
      </c>
      <c r="X91" s="25"/>
    </row>
    <row r="92" spans="1:24" x14ac:dyDescent="0.25">
      <c r="A92" s="39"/>
      <c r="B92" s="41"/>
      <c r="C92" t="s">
        <v>582</v>
      </c>
      <c r="D92" t="s">
        <v>51</v>
      </c>
      <c r="E92" s="3">
        <f t="shared" si="3"/>
        <v>3</v>
      </c>
      <c r="F92">
        <v>68.41</v>
      </c>
      <c r="G92">
        <v>4</v>
      </c>
      <c r="H92">
        <v>20.59</v>
      </c>
      <c r="I92">
        <v>12.09</v>
      </c>
      <c r="J92">
        <v>9.09</v>
      </c>
      <c r="K92">
        <v>4</v>
      </c>
      <c r="L92">
        <v>12</v>
      </c>
      <c r="M92">
        <v>3.5</v>
      </c>
      <c r="N92">
        <v>0.5</v>
      </c>
      <c r="O92" s="19">
        <f t="shared" si="2"/>
        <v>0.75</v>
      </c>
      <c r="Q92" s="28"/>
      <c r="R92" s="1" t="s">
        <v>1466</v>
      </c>
      <c r="S92" s="24">
        <f>AVERAGE(J$122:J$141)</f>
        <v>3.4229999999999996</v>
      </c>
      <c r="T92" s="25"/>
      <c r="U92" s="24">
        <f>AVERAGE(J$142:J$161)</f>
        <v>10.799999999999997</v>
      </c>
      <c r="V92" s="25"/>
      <c r="W92" s="24">
        <f>AVERAGE(J$162:J$181)</f>
        <v>18.235000000000007</v>
      </c>
      <c r="X92" s="25"/>
    </row>
    <row r="93" spans="1:24" ht="15" customHeight="1" x14ac:dyDescent="0.25">
      <c r="A93" s="39"/>
      <c r="B93" s="41"/>
      <c r="C93" t="s">
        <v>583</v>
      </c>
      <c r="D93" t="s">
        <v>51</v>
      </c>
      <c r="E93" s="3">
        <f t="shared" si="3"/>
        <v>3</v>
      </c>
      <c r="F93">
        <v>68.41</v>
      </c>
      <c r="G93">
        <v>4</v>
      </c>
      <c r="H93">
        <v>20.59</v>
      </c>
      <c r="I93">
        <v>12.09</v>
      </c>
      <c r="J93">
        <v>9.09</v>
      </c>
      <c r="K93">
        <v>4</v>
      </c>
      <c r="L93">
        <v>12</v>
      </c>
      <c r="M93">
        <v>3.5</v>
      </c>
      <c r="N93">
        <v>0.5</v>
      </c>
      <c r="O93" s="19">
        <f t="shared" si="2"/>
        <v>0.75</v>
      </c>
      <c r="Q93" s="27" t="s">
        <v>1491</v>
      </c>
      <c r="R93" s="1" t="s">
        <v>1493</v>
      </c>
      <c r="S93" s="24">
        <f>AVERAGE(L$182:L$201)</f>
        <v>8</v>
      </c>
      <c r="T93" s="25"/>
      <c r="U93" s="24">
        <f>AVERAGE(L$202:L$221)</f>
        <v>12</v>
      </c>
      <c r="V93" s="25"/>
      <c r="W93" s="24">
        <f>AVERAGE(L$222:L$241)</f>
        <v>15.978999999999999</v>
      </c>
      <c r="X93" s="25"/>
    </row>
    <row r="94" spans="1:24" x14ac:dyDescent="0.25">
      <c r="A94" s="39"/>
      <c r="B94" s="41"/>
      <c r="C94" t="s">
        <v>584</v>
      </c>
      <c r="D94" t="s">
        <v>51</v>
      </c>
      <c r="E94" s="3">
        <f t="shared" si="3"/>
        <v>3</v>
      </c>
      <c r="F94">
        <v>68.41</v>
      </c>
      <c r="G94">
        <v>4</v>
      </c>
      <c r="H94">
        <v>20.59</v>
      </c>
      <c r="I94">
        <v>12.09</v>
      </c>
      <c r="J94">
        <v>9.09</v>
      </c>
      <c r="K94">
        <v>4</v>
      </c>
      <c r="L94">
        <v>12</v>
      </c>
      <c r="M94">
        <v>3.5</v>
      </c>
      <c r="N94">
        <v>0.5</v>
      </c>
      <c r="O94" s="19">
        <f t="shared" si="2"/>
        <v>0.75</v>
      </c>
      <c r="Q94" s="27"/>
      <c r="R94" s="1" t="s">
        <v>1467</v>
      </c>
      <c r="S94" s="24">
        <f>AVERAGE(M$182:M$201)</f>
        <v>-0.5</v>
      </c>
      <c r="T94" s="25"/>
      <c r="U94" s="24">
        <f>AVERAGE(M$202:M$221)</f>
        <v>3.5</v>
      </c>
      <c r="V94" s="25"/>
      <c r="W94" s="24">
        <f>AVERAGE(M$222:M$241)</f>
        <v>7.4789999999999992</v>
      </c>
      <c r="X94" s="25"/>
    </row>
    <row r="95" spans="1:24" x14ac:dyDescent="0.25">
      <c r="A95" s="39"/>
      <c r="B95" s="41"/>
      <c r="C95" t="s">
        <v>585</v>
      </c>
      <c r="D95" t="s">
        <v>51</v>
      </c>
      <c r="E95" s="3">
        <f t="shared" si="3"/>
        <v>3</v>
      </c>
      <c r="F95">
        <v>68.41</v>
      </c>
      <c r="G95">
        <v>4</v>
      </c>
      <c r="H95">
        <v>20.59</v>
      </c>
      <c r="I95">
        <v>12.09</v>
      </c>
      <c r="J95">
        <v>9.09</v>
      </c>
      <c r="K95">
        <v>4</v>
      </c>
      <c r="L95">
        <v>12</v>
      </c>
      <c r="M95">
        <v>3.5</v>
      </c>
      <c r="N95">
        <v>0.5</v>
      </c>
      <c r="O95" s="19">
        <f t="shared" si="2"/>
        <v>0.75</v>
      </c>
      <c r="Q95" s="27"/>
      <c r="R95" s="1" t="s">
        <v>1468</v>
      </c>
      <c r="S95" s="24">
        <f>AVERAGE(N$182:N$201)</f>
        <v>-3.5</v>
      </c>
      <c r="T95" s="25"/>
      <c r="U95" s="24">
        <f>AVERAGE(N$202:N$221)</f>
        <v>0.5</v>
      </c>
      <c r="V95" s="25"/>
      <c r="W95" s="24">
        <f>AVERAGE(N$222:N$241)</f>
        <v>4.4790000000000001</v>
      </c>
      <c r="X95" s="25"/>
    </row>
    <row r="96" spans="1:24" x14ac:dyDescent="0.25">
      <c r="A96" s="39"/>
      <c r="B96" s="41"/>
      <c r="C96" t="s">
        <v>586</v>
      </c>
      <c r="D96" t="s">
        <v>51</v>
      </c>
      <c r="E96" s="3">
        <f t="shared" si="3"/>
        <v>3</v>
      </c>
      <c r="F96">
        <v>68.41</v>
      </c>
      <c r="G96">
        <v>4</v>
      </c>
      <c r="H96">
        <v>20.59</v>
      </c>
      <c r="I96">
        <v>12.09</v>
      </c>
      <c r="J96">
        <v>9.09</v>
      </c>
      <c r="K96">
        <v>4</v>
      </c>
      <c r="L96">
        <v>12</v>
      </c>
      <c r="M96">
        <v>3.5</v>
      </c>
      <c r="N96">
        <v>0.5</v>
      </c>
      <c r="O96" s="19">
        <f t="shared" si="2"/>
        <v>0.75</v>
      </c>
      <c r="Q96" s="27"/>
      <c r="R96" s="1" t="s">
        <v>1464</v>
      </c>
      <c r="S96" s="24">
        <f>AVERAGE(H$182:H$201)</f>
        <v>15.789999999999997</v>
      </c>
      <c r="T96" s="25"/>
      <c r="U96" s="24">
        <f>AVERAGE(H$202:H$221)</f>
        <v>23.680000000000003</v>
      </c>
      <c r="V96" s="25"/>
      <c r="W96" s="24">
        <f>AVERAGE(H$222:H$241)</f>
        <v>31.570000000000004</v>
      </c>
      <c r="X96" s="25"/>
    </row>
    <row r="97" spans="1:24" x14ac:dyDescent="0.25">
      <c r="A97" s="39"/>
      <c r="B97" s="41"/>
      <c r="C97" t="s">
        <v>587</v>
      </c>
      <c r="D97" t="s">
        <v>51</v>
      </c>
      <c r="E97" s="3">
        <f t="shared" si="3"/>
        <v>3</v>
      </c>
      <c r="F97">
        <v>68.41</v>
      </c>
      <c r="G97">
        <v>4</v>
      </c>
      <c r="H97">
        <v>20.59</v>
      </c>
      <c r="I97">
        <v>12.09</v>
      </c>
      <c r="J97">
        <v>9.09</v>
      </c>
      <c r="K97">
        <v>4</v>
      </c>
      <c r="L97">
        <v>12</v>
      </c>
      <c r="M97">
        <v>3.5</v>
      </c>
      <c r="N97">
        <v>0.5</v>
      </c>
      <c r="O97" s="19">
        <f t="shared" si="2"/>
        <v>0.75</v>
      </c>
      <c r="Q97" s="27"/>
      <c r="R97" s="1" t="s">
        <v>1465</v>
      </c>
      <c r="S97" s="24">
        <f>AVERAGE(I$182:I$201)</f>
        <v>7.2900000000000018</v>
      </c>
      <c r="T97" s="25"/>
      <c r="U97" s="24">
        <f>AVERAGE(I$202:I$221)</f>
        <v>15.180000000000003</v>
      </c>
      <c r="V97" s="25"/>
      <c r="W97" s="24">
        <f>AVERAGE(I$222:I$241)</f>
        <v>23.069999999999997</v>
      </c>
      <c r="X97" s="25"/>
    </row>
    <row r="98" spans="1:24" x14ac:dyDescent="0.25">
      <c r="A98" s="39"/>
      <c r="B98" s="41"/>
      <c r="C98" t="s">
        <v>588</v>
      </c>
      <c r="D98" t="s">
        <v>51</v>
      </c>
      <c r="E98" s="3">
        <f t="shared" si="3"/>
        <v>3</v>
      </c>
      <c r="F98">
        <v>68.41</v>
      </c>
      <c r="G98">
        <v>4</v>
      </c>
      <c r="H98">
        <v>20.59</v>
      </c>
      <c r="I98">
        <v>12.09</v>
      </c>
      <c r="J98">
        <v>9.09</v>
      </c>
      <c r="K98">
        <v>4</v>
      </c>
      <c r="L98">
        <v>12</v>
      </c>
      <c r="M98">
        <v>3.5</v>
      </c>
      <c r="N98">
        <v>0.5</v>
      </c>
      <c r="O98" s="19">
        <f t="shared" si="2"/>
        <v>0.75</v>
      </c>
      <c r="Q98" s="27"/>
      <c r="R98" s="1" t="s">
        <v>1466</v>
      </c>
      <c r="S98" s="24">
        <f>AVERAGE(J$182:J$201)</f>
        <v>4.2900000000000009</v>
      </c>
      <c r="T98" s="25"/>
      <c r="U98" s="24">
        <f>AVERAGE(J$202:J$221)</f>
        <v>12.180000000000003</v>
      </c>
      <c r="V98" s="25"/>
      <c r="W98" s="24">
        <f>AVERAGE(J$222:J$241)</f>
        <v>20.069999999999997</v>
      </c>
      <c r="X98" s="25"/>
    </row>
    <row r="99" spans="1:24" x14ac:dyDescent="0.25">
      <c r="A99" s="39"/>
      <c r="B99" s="41"/>
      <c r="C99" t="s">
        <v>589</v>
      </c>
      <c r="D99" t="s">
        <v>51</v>
      </c>
      <c r="E99" s="3">
        <f t="shared" si="3"/>
        <v>3</v>
      </c>
      <c r="F99">
        <v>68.41</v>
      </c>
      <c r="G99">
        <v>4</v>
      </c>
      <c r="H99">
        <v>20.59</v>
      </c>
      <c r="I99">
        <v>12.09</v>
      </c>
      <c r="J99">
        <v>9.09</v>
      </c>
      <c r="K99">
        <v>4</v>
      </c>
      <c r="L99">
        <v>12</v>
      </c>
      <c r="M99">
        <v>3.5</v>
      </c>
      <c r="N99">
        <v>0.5</v>
      </c>
      <c r="O99" s="19">
        <f t="shared" si="2"/>
        <v>0.75</v>
      </c>
    </row>
    <row r="100" spans="1:24" x14ac:dyDescent="0.25">
      <c r="A100" s="39"/>
      <c r="B100" s="41"/>
      <c r="C100" t="s">
        <v>590</v>
      </c>
      <c r="D100" t="s">
        <v>51</v>
      </c>
      <c r="E100" s="3">
        <f t="shared" si="3"/>
        <v>3</v>
      </c>
      <c r="F100">
        <v>68.41</v>
      </c>
      <c r="G100">
        <v>4</v>
      </c>
      <c r="H100">
        <v>20.59</v>
      </c>
      <c r="I100">
        <v>12.09</v>
      </c>
      <c r="J100">
        <v>9.09</v>
      </c>
      <c r="K100">
        <v>4</v>
      </c>
      <c r="L100">
        <v>12</v>
      </c>
      <c r="M100">
        <v>3.5</v>
      </c>
      <c r="N100">
        <v>0.5</v>
      </c>
      <c r="O100" s="19">
        <f t="shared" si="2"/>
        <v>0.75</v>
      </c>
      <c r="R100" s="1"/>
      <c r="S100" s="30" t="s">
        <v>1460</v>
      </c>
      <c r="T100" s="30"/>
      <c r="U100" s="30" t="s">
        <v>1461</v>
      </c>
      <c r="V100" s="30"/>
      <c r="W100" s="30" t="s">
        <v>1462</v>
      </c>
      <c r="X100" s="30"/>
    </row>
    <row r="101" spans="1:24" x14ac:dyDescent="0.25">
      <c r="A101" s="39"/>
      <c r="B101" s="42"/>
      <c r="C101" s="10" t="s">
        <v>591</v>
      </c>
      <c r="D101" s="10" t="s">
        <v>51</v>
      </c>
      <c r="E101" s="11">
        <f t="shared" si="3"/>
        <v>3</v>
      </c>
      <c r="F101" s="10">
        <v>68.41</v>
      </c>
      <c r="G101" s="10">
        <v>4</v>
      </c>
      <c r="H101" s="10">
        <v>20.59</v>
      </c>
      <c r="I101" s="10">
        <v>12.09</v>
      </c>
      <c r="J101" s="10">
        <v>9.09</v>
      </c>
      <c r="K101" s="10">
        <v>4</v>
      </c>
      <c r="L101" s="10">
        <v>12</v>
      </c>
      <c r="M101" s="10">
        <v>3.5</v>
      </c>
      <c r="N101" s="10">
        <v>0.5</v>
      </c>
      <c r="O101" s="20">
        <f t="shared" si="2"/>
        <v>0.75</v>
      </c>
      <c r="R101" s="1" t="s">
        <v>0</v>
      </c>
      <c r="S101" s="24">
        <f>AVERAGE(O$2:O$21)</f>
        <v>1</v>
      </c>
      <c r="T101" s="25"/>
      <c r="U101" s="24">
        <f>AVERAGE(O$22:O$41)</f>
        <v>0.75</v>
      </c>
      <c r="V101" s="25"/>
      <c r="W101" s="24">
        <f>AVERAGE(O$42:O$61)</f>
        <v>0.75</v>
      </c>
      <c r="X101" s="25"/>
    </row>
    <row r="102" spans="1:24" x14ac:dyDescent="0.25">
      <c r="A102" s="39"/>
      <c r="B102" s="40" t="s">
        <v>5</v>
      </c>
      <c r="C102" s="7" t="s">
        <v>592</v>
      </c>
      <c r="D102" s="7" t="s">
        <v>51</v>
      </c>
      <c r="E102" s="3">
        <f t="shared" si="3"/>
        <v>3</v>
      </c>
      <c r="F102" s="7">
        <v>91.21</v>
      </c>
      <c r="G102" s="7">
        <v>4</v>
      </c>
      <c r="H102" s="7">
        <v>27.46</v>
      </c>
      <c r="I102" s="7">
        <v>18.96</v>
      </c>
      <c r="J102" s="7">
        <v>15.96</v>
      </c>
      <c r="K102" s="7">
        <v>4</v>
      </c>
      <c r="L102" s="7">
        <v>16</v>
      </c>
      <c r="M102" s="7">
        <v>7.5</v>
      </c>
      <c r="N102" s="7">
        <v>4.5</v>
      </c>
      <c r="O102" s="18">
        <f t="shared" si="2"/>
        <v>0.75</v>
      </c>
      <c r="R102" s="1" t="s">
        <v>1</v>
      </c>
      <c r="S102" s="24">
        <f>AVERAGE(O$62:O$81)</f>
        <v>1</v>
      </c>
      <c r="T102" s="25"/>
      <c r="U102" s="24">
        <f>AVERAGE(O$82:O$101)</f>
        <v>0.75</v>
      </c>
      <c r="V102" s="25"/>
      <c r="W102" s="24">
        <f>AVERAGE(O$102:O$121)</f>
        <v>0.75</v>
      </c>
      <c r="X102" s="25"/>
    </row>
    <row r="103" spans="1:24" x14ac:dyDescent="0.25">
      <c r="A103" s="39"/>
      <c r="B103" s="41"/>
      <c r="C103" t="s">
        <v>593</v>
      </c>
      <c r="D103" t="s">
        <v>51</v>
      </c>
      <c r="E103" s="3">
        <f t="shared" si="3"/>
        <v>3</v>
      </c>
      <c r="F103">
        <v>91.21</v>
      </c>
      <c r="G103">
        <v>4</v>
      </c>
      <c r="H103">
        <v>27.46</v>
      </c>
      <c r="I103">
        <v>18.96</v>
      </c>
      <c r="J103">
        <v>15.96</v>
      </c>
      <c r="K103">
        <v>4</v>
      </c>
      <c r="L103">
        <v>16</v>
      </c>
      <c r="M103">
        <v>7.5</v>
      </c>
      <c r="N103">
        <v>4.5</v>
      </c>
      <c r="O103" s="19">
        <f t="shared" si="2"/>
        <v>0.75</v>
      </c>
      <c r="R103" s="1" t="s">
        <v>2</v>
      </c>
      <c r="S103" s="24">
        <f>AVERAGE(O$122:O$141)</f>
        <v>1.5</v>
      </c>
      <c r="T103" s="25"/>
      <c r="U103" s="24">
        <f>AVERAGE(O$142:O$161)</f>
        <v>1</v>
      </c>
      <c r="V103" s="25"/>
      <c r="W103" s="24">
        <f>AVERAGE(O$162:O$181)</f>
        <v>1</v>
      </c>
      <c r="X103" s="25"/>
    </row>
    <row r="104" spans="1:24" x14ac:dyDescent="0.25">
      <c r="A104" s="39"/>
      <c r="B104" s="41"/>
      <c r="C104" t="s">
        <v>594</v>
      </c>
      <c r="D104" t="s">
        <v>51</v>
      </c>
      <c r="E104" s="3">
        <f t="shared" si="3"/>
        <v>3</v>
      </c>
      <c r="F104">
        <v>91.21</v>
      </c>
      <c r="G104">
        <v>4</v>
      </c>
      <c r="H104">
        <v>27.46</v>
      </c>
      <c r="I104">
        <v>18.96</v>
      </c>
      <c r="J104">
        <v>15.96</v>
      </c>
      <c r="K104">
        <v>4</v>
      </c>
      <c r="L104">
        <v>16</v>
      </c>
      <c r="M104">
        <v>7.5</v>
      </c>
      <c r="N104">
        <v>4.5</v>
      </c>
      <c r="O104" s="19">
        <f t="shared" si="2"/>
        <v>0.75</v>
      </c>
      <c r="R104" s="1" t="s">
        <v>1491</v>
      </c>
      <c r="S104" s="24">
        <f>AVERAGE(O$182:O$201)</f>
        <v>1.5</v>
      </c>
      <c r="T104" s="25"/>
      <c r="U104" s="24">
        <f>AVERAGE(O$202:O$221)</f>
        <v>1</v>
      </c>
      <c r="V104" s="25"/>
      <c r="W104" s="24">
        <f>AVERAGE(O$222:O$241)</f>
        <v>1</v>
      </c>
      <c r="X104" s="25"/>
    </row>
    <row r="105" spans="1:24" x14ac:dyDescent="0.25">
      <c r="A105" s="39"/>
      <c r="B105" s="41"/>
      <c r="C105" t="s">
        <v>595</v>
      </c>
      <c r="D105" t="s">
        <v>51</v>
      </c>
      <c r="E105" s="3">
        <f t="shared" si="3"/>
        <v>3</v>
      </c>
      <c r="F105">
        <v>91.21</v>
      </c>
      <c r="G105">
        <v>4</v>
      </c>
      <c r="H105">
        <v>27.46</v>
      </c>
      <c r="I105">
        <v>18.96</v>
      </c>
      <c r="J105">
        <v>15.96</v>
      </c>
      <c r="K105">
        <v>4</v>
      </c>
      <c r="L105">
        <v>16</v>
      </c>
      <c r="M105">
        <v>7.5</v>
      </c>
      <c r="N105">
        <v>4.5</v>
      </c>
      <c r="O105" s="19">
        <f t="shared" si="2"/>
        <v>0.75</v>
      </c>
    </row>
    <row r="106" spans="1:24" x14ac:dyDescent="0.25">
      <c r="A106" s="39"/>
      <c r="B106" s="41"/>
      <c r="C106" t="s">
        <v>596</v>
      </c>
      <c r="D106" t="s">
        <v>51</v>
      </c>
      <c r="E106" s="3">
        <f t="shared" si="3"/>
        <v>3</v>
      </c>
      <c r="F106">
        <v>91.21</v>
      </c>
      <c r="G106">
        <v>4</v>
      </c>
      <c r="H106">
        <v>27.46</v>
      </c>
      <c r="I106">
        <v>18.96</v>
      </c>
      <c r="J106">
        <v>15.96</v>
      </c>
      <c r="K106">
        <v>4</v>
      </c>
      <c r="L106">
        <v>16</v>
      </c>
      <c r="M106">
        <v>7.5</v>
      </c>
      <c r="N106">
        <v>4.5</v>
      </c>
      <c r="O106" s="19">
        <f t="shared" si="2"/>
        <v>0.75</v>
      </c>
    </row>
    <row r="107" spans="1:24" x14ac:dyDescent="0.25">
      <c r="A107" s="39"/>
      <c r="B107" s="41"/>
      <c r="C107" t="s">
        <v>597</v>
      </c>
      <c r="D107" t="s">
        <v>51</v>
      </c>
      <c r="E107" s="3">
        <f t="shared" si="3"/>
        <v>3</v>
      </c>
      <c r="F107">
        <v>91.21</v>
      </c>
      <c r="G107">
        <v>4</v>
      </c>
      <c r="H107">
        <v>27.46</v>
      </c>
      <c r="I107">
        <v>18.96</v>
      </c>
      <c r="J107">
        <v>15.96</v>
      </c>
      <c r="K107">
        <v>4</v>
      </c>
      <c r="L107">
        <v>16</v>
      </c>
      <c r="M107">
        <v>7.5</v>
      </c>
      <c r="N107">
        <v>4.5</v>
      </c>
      <c r="O107" s="19">
        <f t="shared" si="2"/>
        <v>0.75</v>
      </c>
    </row>
    <row r="108" spans="1:24" x14ac:dyDescent="0.25">
      <c r="A108" s="39"/>
      <c r="B108" s="41"/>
      <c r="C108" t="s">
        <v>598</v>
      </c>
      <c r="D108" t="s">
        <v>51</v>
      </c>
      <c r="E108" s="3">
        <f t="shared" si="3"/>
        <v>3</v>
      </c>
      <c r="F108">
        <v>91.21</v>
      </c>
      <c r="G108">
        <v>4</v>
      </c>
      <c r="H108">
        <v>27.46</v>
      </c>
      <c r="I108">
        <v>18.96</v>
      </c>
      <c r="J108">
        <v>15.96</v>
      </c>
      <c r="K108">
        <v>4</v>
      </c>
      <c r="L108">
        <v>16</v>
      </c>
      <c r="M108">
        <v>7.5</v>
      </c>
      <c r="N108">
        <v>4.5</v>
      </c>
      <c r="O108" s="19">
        <f t="shared" si="2"/>
        <v>0.75</v>
      </c>
    </row>
    <row r="109" spans="1:24" x14ac:dyDescent="0.25">
      <c r="A109" s="39"/>
      <c r="B109" s="41"/>
      <c r="C109" t="s">
        <v>599</v>
      </c>
      <c r="D109" t="s">
        <v>51</v>
      </c>
      <c r="E109" s="3">
        <f t="shared" si="3"/>
        <v>3</v>
      </c>
      <c r="F109">
        <v>91.21</v>
      </c>
      <c r="G109">
        <v>4</v>
      </c>
      <c r="H109">
        <v>27.46</v>
      </c>
      <c r="I109">
        <v>18.96</v>
      </c>
      <c r="J109">
        <v>15.96</v>
      </c>
      <c r="K109">
        <v>4</v>
      </c>
      <c r="L109">
        <v>16</v>
      </c>
      <c r="M109">
        <v>7.5</v>
      </c>
      <c r="N109">
        <v>4.5</v>
      </c>
      <c r="O109" s="19">
        <f t="shared" si="2"/>
        <v>0.75</v>
      </c>
    </row>
    <row r="110" spans="1:24" x14ac:dyDescent="0.25">
      <c r="A110" s="39"/>
      <c r="B110" s="41"/>
      <c r="C110" t="s">
        <v>600</v>
      </c>
      <c r="D110" t="s">
        <v>51</v>
      </c>
      <c r="E110" s="3">
        <f t="shared" si="3"/>
        <v>3</v>
      </c>
      <c r="F110">
        <v>91.21</v>
      </c>
      <c r="G110">
        <v>4</v>
      </c>
      <c r="H110">
        <v>27.46</v>
      </c>
      <c r="I110">
        <v>18.96</v>
      </c>
      <c r="J110">
        <v>15.96</v>
      </c>
      <c r="K110">
        <v>4</v>
      </c>
      <c r="L110">
        <v>16</v>
      </c>
      <c r="M110">
        <v>7.5</v>
      </c>
      <c r="N110">
        <v>4.5</v>
      </c>
      <c r="O110" s="19">
        <f t="shared" si="2"/>
        <v>0.75</v>
      </c>
    </row>
    <row r="111" spans="1:24" x14ac:dyDescent="0.25">
      <c r="A111" s="39"/>
      <c r="B111" s="41"/>
      <c r="C111" t="s">
        <v>601</v>
      </c>
      <c r="D111" t="s">
        <v>51</v>
      </c>
      <c r="E111" s="3">
        <f t="shared" si="3"/>
        <v>3</v>
      </c>
      <c r="F111">
        <v>91.21</v>
      </c>
      <c r="G111">
        <v>4</v>
      </c>
      <c r="H111">
        <v>27.46</v>
      </c>
      <c r="I111">
        <v>18.96</v>
      </c>
      <c r="J111">
        <v>15.96</v>
      </c>
      <c r="K111">
        <v>4</v>
      </c>
      <c r="L111">
        <v>16</v>
      </c>
      <c r="M111">
        <v>7.5</v>
      </c>
      <c r="N111">
        <v>4.5</v>
      </c>
      <c r="O111" s="19">
        <f t="shared" si="2"/>
        <v>0.75</v>
      </c>
    </row>
    <row r="112" spans="1:24" x14ac:dyDescent="0.25">
      <c r="A112" s="39"/>
      <c r="B112" s="41"/>
      <c r="C112" t="s">
        <v>602</v>
      </c>
      <c r="D112" t="s">
        <v>51</v>
      </c>
      <c r="E112" s="3">
        <f t="shared" si="3"/>
        <v>3</v>
      </c>
      <c r="F112">
        <v>91.21</v>
      </c>
      <c r="G112">
        <v>4</v>
      </c>
      <c r="H112">
        <v>27.46</v>
      </c>
      <c r="I112">
        <v>18.96</v>
      </c>
      <c r="J112">
        <v>15.96</v>
      </c>
      <c r="K112">
        <v>4</v>
      </c>
      <c r="L112">
        <v>16</v>
      </c>
      <c r="M112">
        <v>7.5</v>
      </c>
      <c r="N112">
        <v>4.5</v>
      </c>
      <c r="O112" s="19">
        <f t="shared" si="2"/>
        <v>0.75</v>
      </c>
    </row>
    <row r="113" spans="1:15" x14ac:dyDescent="0.25">
      <c r="A113" s="39"/>
      <c r="B113" s="41"/>
      <c r="C113" t="s">
        <v>603</v>
      </c>
      <c r="D113" t="s">
        <v>51</v>
      </c>
      <c r="E113" s="3">
        <f t="shared" si="3"/>
        <v>3</v>
      </c>
      <c r="F113">
        <v>91.21</v>
      </c>
      <c r="G113">
        <v>4</v>
      </c>
      <c r="H113">
        <v>27.46</v>
      </c>
      <c r="I113">
        <v>18.96</v>
      </c>
      <c r="J113">
        <v>15.96</v>
      </c>
      <c r="K113">
        <v>4</v>
      </c>
      <c r="L113">
        <v>16</v>
      </c>
      <c r="M113">
        <v>7.5</v>
      </c>
      <c r="N113">
        <v>4.5</v>
      </c>
      <c r="O113" s="19">
        <f t="shared" si="2"/>
        <v>0.75</v>
      </c>
    </row>
    <row r="114" spans="1:15" x14ac:dyDescent="0.25">
      <c r="A114" s="39"/>
      <c r="B114" s="41"/>
      <c r="C114" t="s">
        <v>604</v>
      </c>
      <c r="D114" t="s">
        <v>51</v>
      </c>
      <c r="E114" s="3">
        <f t="shared" si="3"/>
        <v>3</v>
      </c>
      <c r="F114">
        <v>91.21</v>
      </c>
      <c r="G114">
        <v>4</v>
      </c>
      <c r="H114">
        <v>27.46</v>
      </c>
      <c r="I114">
        <v>18.96</v>
      </c>
      <c r="J114">
        <v>15.96</v>
      </c>
      <c r="K114">
        <v>4</v>
      </c>
      <c r="L114">
        <v>16</v>
      </c>
      <c r="M114">
        <v>7.5</v>
      </c>
      <c r="N114">
        <v>4.5</v>
      </c>
      <c r="O114" s="19">
        <f t="shared" si="2"/>
        <v>0.75</v>
      </c>
    </row>
    <row r="115" spans="1:15" x14ac:dyDescent="0.25">
      <c r="A115" s="39"/>
      <c r="B115" s="41"/>
      <c r="C115" t="s">
        <v>605</v>
      </c>
      <c r="D115" t="s">
        <v>51</v>
      </c>
      <c r="E115" s="3">
        <f t="shared" si="3"/>
        <v>3</v>
      </c>
      <c r="F115">
        <v>91.21</v>
      </c>
      <c r="G115">
        <v>4</v>
      </c>
      <c r="H115">
        <v>27.46</v>
      </c>
      <c r="I115">
        <v>18.96</v>
      </c>
      <c r="J115">
        <v>15.96</v>
      </c>
      <c r="K115">
        <v>4</v>
      </c>
      <c r="L115">
        <v>16</v>
      </c>
      <c r="M115">
        <v>7.5</v>
      </c>
      <c r="N115">
        <v>4.5</v>
      </c>
      <c r="O115" s="19">
        <f t="shared" si="2"/>
        <v>0.75</v>
      </c>
    </row>
    <row r="116" spans="1:15" x14ac:dyDescent="0.25">
      <c r="A116" s="39"/>
      <c r="B116" s="41"/>
      <c r="C116" t="s">
        <v>606</v>
      </c>
      <c r="D116" t="s">
        <v>51</v>
      </c>
      <c r="E116" s="3">
        <f t="shared" si="3"/>
        <v>3</v>
      </c>
      <c r="F116">
        <v>91.21</v>
      </c>
      <c r="G116">
        <v>4</v>
      </c>
      <c r="H116">
        <v>27.46</v>
      </c>
      <c r="I116">
        <v>18.96</v>
      </c>
      <c r="J116">
        <v>15.96</v>
      </c>
      <c r="K116">
        <v>4</v>
      </c>
      <c r="L116">
        <v>15.73</v>
      </c>
      <c r="M116">
        <v>7.23</v>
      </c>
      <c r="N116">
        <v>4.2300000000000004</v>
      </c>
      <c r="O116" s="19">
        <f t="shared" si="2"/>
        <v>0.75</v>
      </c>
    </row>
    <row r="117" spans="1:15" x14ac:dyDescent="0.25">
      <c r="A117" s="39"/>
      <c r="B117" s="41"/>
      <c r="C117" t="s">
        <v>607</v>
      </c>
      <c r="D117" t="s">
        <v>51</v>
      </c>
      <c r="E117" s="3">
        <f t="shared" si="3"/>
        <v>3</v>
      </c>
      <c r="F117">
        <v>91.21</v>
      </c>
      <c r="G117">
        <v>4</v>
      </c>
      <c r="H117">
        <v>27.46</v>
      </c>
      <c r="I117">
        <v>18.96</v>
      </c>
      <c r="J117">
        <v>15.96</v>
      </c>
      <c r="K117">
        <v>4</v>
      </c>
      <c r="L117">
        <v>16</v>
      </c>
      <c r="M117">
        <v>7.5</v>
      </c>
      <c r="N117">
        <v>4.5</v>
      </c>
      <c r="O117" s="19">
        <f t="shared" si="2"/>
        <v>0.75</v>
      </c>
    </row>
    <row r="118" spans="1:15" x14ac:dyDescent="0.25">
      <c r="A118" s="39"/>
      <c r="B118" s="41"/>
      <c r="C118" t="s">
        <v>608</v>
      </c>
      <c r="D118" t="s">
        <v>51</v>
      </c>
      <c r="E118" s="3">
        <f t="shared" si="3"/>
        <v>3</v>
      </c>
      <c r="F118">
        <v>91.21</v>
      </c>
      <c r="G118">
        <v>4</v>
      </c>
      <c r="H118">
        <v>27.46</v>
      </c>
      <c r="I118">
        <v>18.96</v>
      </c>
      <c r="J118">
        <v>15.96</v>
      </c>
      <c r="K118">
        <v>4</v>
      </c>
      <c r="L118">
        <v>15.71</v>
      </c>
      <c r="M118">
        <v>7.21</v>
      </c>
      <c r="N118">
        <v>4.21</v>
      </c>
      <c r="O118" s="19">
        <f t="shared" si="2"/>
        <v>0.75</v>
      </c>
    </row>
    <row r="119" spans="1:15" x14ac:dyDescent="0.25">
      <c r="A119" s="39"/>
      <c r="B119" s="41"/>
      <c r="C119" t="s">
        <v>609</v>
      </c>
      <c r="D119" t="s">
        <v>51</v>
      </c>
      <c r="E119" s="3">
        <f t="shared" si="3"/>
        <v>3</v>
      </c>
      <c r="F119">
        <v>91.21</v>
      </c>
      <c r="G119">
        <v>4</v>
      </c>
      <c r="H119">
        <v>27.46</v>
      </c>
      <c r="I119">
        <v>18.96</v>
      </c>
      <c r="J119">
        <v>15.96</v>
      </c>
      <c r="K119">
        <v>4</v>
      </c>
      <c r="L119">
        <v>16</v>
      </c>
      <c r="M119">
        <v>7.5</v>
      </c>
      <c r="N119">
        <v>4.5</v>
      </c>
      <c r="O119" s="19">
        <f t="shared" si="2"/>
        <v>0.75</v>
      </c>
    </row>
    <row r="120" spans="1:15" x14ac:dyDescent="0.25">
      <c r="A120" s="39"/>
      <c r="B120" s="41"/>
      <c r="C120" t="s">
        <v>610</v>
      </c>
      <c r="D120" t="s">
        <v>51</v>
      </c>
      <c r="E120" s="3">
        <f t="shared" si="3"/>
        <v>3</v>
      </c>
      <c r="F120">
        <v>91.21</v>
      </c>
      <c r="G120">
        <v>4</v>
      </c>
      <c r="H120">
        <v>27.46</v>
      </c>
      <c r="I120">
        <v>18.96</v>
      </c>
      <c r="J120">
        <v>15.96</v>
      </c>
      <c r="K120">
        <v>4</v>
      </c>
      <c r="L120">
        <v>16</v>
      </c>
      <c r="M120">
        <v>7.5</v>
      </c>
      <c r="N120">
        <v>4.5</v>
      </c>
      <c r="O120" s="19">
        <f t="shared" si="2"/>
        <v>0.75</v>
      </c>
    </row>
    <row r="121" spans="1:15" x14ac:dyDescent="0.25">
      <c r="A121" s="39"/>
      <c r="B121" s="42"/>
      <c r="C121" s="10" t="s">
        <v>611</v>
      </c>
      <c r="D121" s="10" t="s">
        <v>51</v>
      </c>
      <c r="E121" s="11">
        <f t="shared" si="3"/>
        <v>3</v>
      </c>
      <c r="F121" s="10">
        <v>91.21</v>
      </c>
      <c r="G121" s="10">
        <v>4</v>
      </c>
      <c r="H121" s="10">
        <v>27.46</v>
      </c>
      <c r="I121" s="10">
        <v>18.96</v>
      </c>
      <c r="J121" s="10">
        <v>15.96</v>
      </c>
      <c r="K121" s="10">
        <v>4</v>
      </c>
      <c r="L121" s="10">
        <v>16</v>
      </c>
      <c r="M121" s="10">
        <v>7.5</v>
      </c>
      <c r="N121" s="10">
        <v>4.5</v>
      </c>
      <c r="O121" s="20">
        <f t="shared" si="2"/>
        <v>0.75</v>
      </c>
    </row>
    <row r="122" spans="1:15" x14ac:dyDescent="0.25">
      <c r="A122" s="39" t="s">
        <v>2</v>
      </c>
      <c r="B122" s="40" t="s">
        <v>4</v>
      </c>
      <c r="C122" s="7" t="s">
        <v>612</v>
      </c>
      <c r="D122" s="7" t="s">
        <v>51</v>
      </c>
      <c r="E122" s="3">
        <f t="shared" si="3"/>
        <v>3</v>
      </c>
      <c r="F122" s="7">
        <v>47.63</v>
      </c>
      <c r="G122" s="7">
        <v>4</v>
      </c>
      <c r="H122" s="7">
        <v>14.34</v>
      </c>
      <c r="I122" s="7">
        <v>5.84</v>
      </c>
      <c r="J122" s="7">
        <v>2.84</v>
      </c>
      <c r="K122" s="7">
        <v>2</v>
      </c>
      <c r="L122" s="7">
        <v>8</v>
      </c>
      <c r="M122" s="7">
        <v>-0.5</v>
      </c>
      <c r="N122" s="7">
        <v>-3.5</v>
      </c>
      <c r="O122" s="18">
        <f t="shared" si="2"/>
        <v>1.5</v>
      </c>
    </row>
    <row r="123" spans="1:15" x14ac:dyDescent="0.25">
      <c r="A123" s="39"/>
      <c r="B123" s="41"/>
      <c r="C123" t="s">
        <v>613</v>
      </c>
      <c r="D123" t="s">
        <v>51</v>
      </c>
      <c r="E123" s="3">
        <f t="shared" si="3"/>
        <v>3</v>
      </c>
      <c r="F123">
        <v>47.63</v>
      </c>
      <c r="G123">
        <v>4</v>
      </c>
      <c r="H123">
        <v>14.34</v>
      </c>
      <c r="I123">
        <v>5.84</v>
      </c>
      <c r="J123">
        <v>2.84</v>
      </c>
      <c r="K123">
        <v>2</v>
      </c>
      <c r="L123">
        <v>8</v>
      </c>
      <c r="M123">
        <v>-0.5</v>
      </c>
      <c r="N123">
        <v>-3.5</v>
      </c>
      <c r="O123" s="19">
        <f t="shared" si="2"/>
        <v>1.5</v>
      </c>
    </row>
    <row r="124" spans="1:15" x14ac:dyDescent="0.25">
      <c r="A124" s="39"/>
      <c r="B124" s="41"/>
      <c r="C124" t="s">
        <v>614</v>
      </c>
      <c r="D124" t="s">
        <v>51</v>
      </c>
      <c r="E124" s="3">
        <f t="shared" si="3"/>
        <v>3</v>
      </c>
      <c r="F124">
        <v>47.63</v>
      </c>
      <c r="G124">
        <v>4</v>
      </c>
      <c r="H124">
        <v>14.34</v>
      </c>
      <c r="I124">
        <v>5.84</v>
      </c>
      <c r="J124">
        <v>2.84</v>
      </c>
      <c r="K124">
        <v>2</v>
      </c>
      <c r="L124">
        <v>8</v>
      </c>
      <c r="M124">
        <v>-0.5</v>
      </c>
      <c r="N124">
        <v>-3.5</v>
      </c>
      <c r="O124" s="19">
        <f t="shared" si="2"/>
        <v>1.5</v>
      </c>
    </row>
    <row r="125" spans="1:15" x14ac:dyDescent="0.25">
      <c r="A125" s="39"/>
      <c r="B125" s="41"/>
      <c r="C125" t="s">
        <v>615</v>
      </c>
      <c r="D125" t="s">
        <v>51</v>
      </c>
      <c r="E125" s="3">
        <f t="shared" si="3"/>
        <v>3</v>
      </c>
      <c r="F125">
        <v>47.63</v>
      </c>
      <c r="G125">
        <v>4</v>
      </c>
      <c r="H125">
        <v>14.34</v>
      </c>
      <c r="I125">
        <v>5.84</v>
      </c>
      <c r="J125">
        <v>2.84</v>
      </c>
      <c r="K125">
        <v>2</v>
      </c>
      <c r="L125">
        <v>8</v>
      </c>
      <c r="M125">
        <v>-0.5</v>
      </c>
      <c r="N125">
        <v>-3.5</v>
      </c>
      <c r="O125" s="19">
        <f t="shared" si="2"/>
        <v>1.5</v>
      </c>
    </row>
    <row r="126" spans="1:15" x14ac:dyDescent="0.25">
      <c r="A126" s="39"/>
      <c r="B126" s="41"/>
      <c r="C126" t="s">
        <v>616</v>
      </c>
      <c r="D126" t="s">
        <v>51</v>
      </c>
      <c r="E126" s="3">
        <f t="shared" si="3"/>
        <v>3</v>
      </c>
      <c r="F126">
        <v>47.63</v>
      </c>
      <c r="G126">
        <v>4</v>
      </c>
      <c r="H126">
        <v>14.34</v>
      </c>
      <c r="I126">
        <v>5.84</v>
      </c>
      <c r="J126">
        <v>2.84</v>
      </c>
      <c r="K126">
        <v>2</v>
      </c>
      <c r="L126">
        <v>8</v>
      </c>
      <c r="M126">
        <v>-0.5</v>
      </c>
      <c r="N126">
        <v>-3.5</v>
      </c>
      <c r="O126" s="19">
        <f t="shared" si="2"/>
        <v>1.5</v>
      </c>
    </row>
    <row r="127" spans="1:15" x14ac:dyDescent="0.25">
      <c r="A127" s="39"/>
      <c r="B127" s="41"/>
      <c r="C127" t="s">
        <v>617</v>
      </c>
      <c r="D127" t="s">
        <v>51</v>
      </c>
      <c r="E127" s="3">
        <f t="shared" si="3"/>
        <v>3</v>
      </c>
      <c r="F127">
        <v>47.63</v>
      </c>
      <c r="G127">
        <v>4</v>
      </c>
      <c r="H127">
        <v>14.34</v>
      </c>
      <c r="I127">
        <v>5.84</v>
      </c>
      <c r="J127">
        <v>2.84</v>
      </c>
      <c r="K127">
        <v>2</v>
      </c>
      <c r="L127">
        <v>8</v>
      </c>
      <c r="M127">
        <v>-0.5</v>
      </c>
      <c r="N127">
        <v>-3.5</v>
      </c>
      <c r="O127" s="19">
        <f t="shared" si="2"/>
        <v>1.5</v>
      </c>
    </row>
    <row r="128" spans="1:15" x14ac:dyDescent="0.25">
      <c r="A128" s="39"/>
      <c r="B128" s="41"/>
      <c r="C128" t="s">
        <v>618</v>
      </c>
      <c r="D128" t="s">
        <v>51</v>
      </c>
      <c r="E128" s="3">
        <f t="shared" si="3"/>
        <v>3</v>
      </c>
      <c r="F128">
        <v>47.63</v>
      </c>
      <c r="G128">
        <v>4</v>
      </c>
      <c r="H128">
        <v>14.34</v>
      </c>
      <c r="I128">
        <v>5.84</v>
      </c>
      <c r="J128">
        <v>2.84</v>
      </c>
      <c r="K128">
        <v>2</v>
      </c>
      <c r="L128">
        <v>8</v>
      </c>
      <c r="M128">
        <v>-0.5</v>
      </c>
      <c r="N128">
        <v>-3.5</v>
      </c>
      <c r="O128" s="19">
        <f t="shared" si="2"/>
        <v>1.5</v>
      </c>
    </row>
    <row r="129" spans="1:15" x14ac:dyDescent="0.25">
      <c r="A129" s="39"/>
      <c r="B129" s="41"/>
      <c r="C129" t="s">
        <v>619</v>
      </c>
      <c r="D129" t="s">
        <v>51</v>
      </c>
      <c r="E129" s="3">
        <f t="shared" si="3"/>
        <v>3</v>
      </c>
      <c r="F129">
        <v>47.63</v>
      </c>
      <c r="G129">
        <v>4</v>
      </c>
      <c r="H129">
        <v>14.34</v>
      </c>
      <c r="I129">
        <v>5.84</v>
      </c>
      <c r="J129">
        <v>2.84</v>
      </c>
      <c r="K129">
        <v>2</v>
      </c>
      <c r="L129">
        <v>8</v>
      </c>
      <c r="M129">
        <v>-0.5</v>
      </c>
      <c r="N129">
        <v>-3.5</v>
      </c>
      <c r="O129" s="19">
        <f t="shared" si="2"/>
        <v>1.5</v>
      </c>
    </row>
    <row r="130" spans="1:15" x14ac:dyDescent="0.25">
      <c r="A130" s="39"/>
      <c r="B130" s="41"/>
      <c r="C130" t="s">
        <v>620</v>
      </c>
      <c r="D130" t="s">
        <v>51</v>
      </c>
      <c r="E130" s="3">
        <f t="shared" si="3"/>
        <v>3</v>
      </c>
      <c r="F130">
        <v>47.63</v>
      </c>
      <c r="G130">
        <v>4</v>
      </c>
      <c r="H130">
        <v>14.34</v>
      </c>
      <c r="I130">
        <v>5.84</v>
      </c>
      <c r="J130">
        <v>2.84</v>
      </c>
      <c r="K130">
        <v>2</v>
      </c>
      <c r="L130">
        <v>8</v>
      </c>
      <c r="M130">
        <v>-0.5</v>
      </c>
      <c r="N130">
        <v>-3.5</v>
      </c>
      <c r="O130" s="19">
        <f t="shared" si="2"/>
        <v>1.5</v>
      </c>
    </row>
    <row r="131" spans="1:15" x14ac:dyDescent="0.25">
      <c r="A131" s="39"/>
      <c r="B131" s="41"/>
      <c r="C131" t="s">
        <v>621</v>
      </c>
      <c r="D131" t="s">
        <v>51</v>
      </c>
      <c r="E131" s="3">
        <f t="shared" si="3"/>
        <v>3</v>
      </c>
      <c r="F131">
        <v>51.14</v>
      </c>
      <c r="G131">
        <v>4</v>
      </c>
      <c r="H131">
        <v>15.39</v>
      </c>
      <c r="I131">
        <v>6.9</v>
      </c>
      <c r="J131">
        <v>3.9</v>
      </c>
      <c r="K131">
        <v>2</v>
      </c>
      <c r="L131">
        <v>8</v>
      </c>
      <c r="M131">
        <v>-0.5</v>
      </c>
      <c r="N131">
        <v>-3.5</v>
      </c>
      <c r="O131" s="19">
        <f t="shared" ref="O131:O194" si="4">E131/K131</f>
        <v>1.5</v>
      </c>
    </row>
    <row r="132" spans="1:15" x14ac:dyDescent="0.25">
      <c r="A132" s="39"/>
      <c r="B132" s="41"/>
      <c r="C132" t="s">
        <v>622</v>
      </c>
      <c r="D132" t="s">
        <v>51</v>
      </c>
      <c r="E132" s="3">
        <f t="shared" ref="E132:E195" si="5">IF(D132="Muito Fraca", 1, IF(D132="Fraca", 2, IF(D132="Média", 3, 4)))</f>
        <v>3</v>
      </c>
      <c r="F132">
        <v>51.14</v>
      </c>
      <c r="G132">
        <v>4</v>
      </c>
      <c r="H132">
        <v>15.39</v>
      </c>
      <c r="I132">
        <v>6.9</v>
      </c>
      <c r="J132">
        <v>3.9</v>
      </c>
      <c r="K132">
        <v>2</v>
      </c>
      <c r="L132">
        <v>8</v>
      </c>
      <c r="M132">
        <v>-0.5</v>
      </c>
      <c r="N132">
        <v>-3.5</v>
      </c>
      <c r="O132" s="19">
        <f t="shared" si="4"/>
        <v>1.5</v>
      </c>
    </row>
    <row r="133" spans="1:15" x14ac:dyDescent="0.25">
      <c r="A133" s="39"/>
      <c r="B133" s="41"/>
      <c r="C133" t="s">
        <v>623</v>
      </c>
      <c r="D133" t="s">
        <v>51</v>
      </c>
      <c r="E133" s="3">
        <f t="shared" si="5"/>
        <v>3</v>
      </c>
      <c r="F133">
        <v>51.14</v>
      </c>
      <c r="G133">
        <v>4</v>
      </c>
      <c r="H133">
        <v>15.39</v>
      </c>
      <c r="I133">
        <v>6.9</v>
      </c>
      <c r="J133">
        <v>3.9</v>
      </c>
      <c r="K133">
        <v>2</v>
      </c>
      <c r="L133">
        <v>8</v>
      </c>
      <c r="M133">
        <v>-0.5</v>
      </c>
      <c r="N133">
        <v>-3.5</v>
      </c>
      <c r="O133" s="19">
        <f t="shared" si="4"/>
        <v>1.5</v>
      </c>
    </row>
    <row r="134" spans="1:15" x14ac:dyDescent="0.25">
      <c r="A134" s="39"/>
      <c r="B134" s="41"/>
      <c r="C134" t="s">
        <v>624</v>
      </c>
      <c r="D134" t="s">
        <v>51</v>
      </c>
      <c r="E134" s="3">
        <f t="shared" si="5"/>
        <v>3</v>
      </c>
      <c r="F134">
        <v>51.14</v>
      </c>
      <c r="G134">
        <v>4</v>
      </c>
      <c r="H134">
        <v>15.39</v>
      </c>
      <c r="I134">
        <v>6.9</v>
      </c>
      <c r="J134">
        <v>3.9</v>
      </c>
      <c r="K134">
        <v>2</v>
      </c>
      <c r="L134">
        <v>8</v>
      </c>
      <c r="M134">
        <v>-0.5</v>
      </c>
      <c r="N134">
        <v>-3.5</v>
      </c>
      <c r="O134" s="19">
        <f t="shared" si="4"/>
        <v>1.5</v>
      </c>
    </row>
    <row r="135" spans="1:15" x14ac:dyDescent="0.25">
      <c r="A135" s="39"/>
      <c r="B135" s="41"/>
      <c r="C135" t="s">
        <v>625</v>
      </c>
      <c r="D135" t="s">
        <v>51</v>
      </c>
      <c r="E135" s="3">
        <f t="shared" si="5"/>
        <v>3</v>
      </c>
      <c r="F135">
        <v>51.14</v>
      </c>
      <c r="G135">
        <v>4</v>
      </c>
      <c r="H135">
        <v>15.39</v>
      </c>
      <c r="I135">
        <v>6.9</v>
      </c>
      <c r="J135">
        <v>3.9</v>
      </c>
      <c r="K135">
        <v>2</v>
      </c>
      <c r="L135">
        <v>8</v>
      </c>
      <c r="M135">
        <v>-0.5</v>
      </c>
      <c r="N135">
        <v>-3.5</v>
      </c>
      <c r="O135" s="19">
        <f t="shared" si="4"/>
        <v>1.5</v>
      </c>
    </row>
    <row r="136" spans="1:15" x14ac:dyDescent="0.25">
      <c r="A136" s="39"/>
      <c r="B136" s="41"/>
      <c r="C136" t="s">
        <v>626</v>
      </c>
      <c r="D136" t="s">
        <v>51</v>
      </c>
      <c r="E136" s="3">
        <f t="shared" si="5"/>
        <v>3</v>
      </c>
      <c r="F136">
        <v>51.14</v>
      </c>
      <c r="G136">
        <v>4</v>
      </c>
      <c r="H136">
        <v>15.39</v>
      </c>
      <c r="I136">
        <v>6.9</v>
      </c>
      <c r="J136">
        <v>3.9</v>
      </c>
      <c r="K136">
        <v>2</v>
      </c>
      <c r="L136">
        <v>8</v>
      </c>
      <c r="M136">
        <v>-0.5</v>
      </c>
      <c r="N136">
        <v>-3.5</v>
      </c>
      <c r="O136" s="19">
        <f t="shared" si="4"/>
        <v>1.5</v>
      </c>
    </row>
    <row r="137" spans="1:15" x14ac:dyDescent="0.25">
      <c r="A137" s="39"/>
      <c r="B137" s="41"/>
      <c r="C137" t="s">
        <v>627</v>
      </c>
      <c r="D137" t="s">
        <v>51</v>
      </c>
      <c r="E137" s="3">
        <f t="shared" si="5"/>
        <v>3</v>
      </c>
      <c r="F137">
        <v>51.14</v>
      </c>
      <c r="G137">
        <v>4</v>
      </c>
      <c r="H137">
        <v>15.39</v>
      </c>
      <c r="I137">
        <v>6.9</v>
      </c>
      <c r="J137">
        <v>3.9</v>
      </c>
      <c r="K137">
        <v>2</v>
      </c>
      <c r="L137">
        <v>8</v>
      </c>
      <c r="M137">
        <v>-0.5</v>
      </c>
      <c r="N137">
        <v>-3.5</v>
      </c>
      <c r="O137" s="19">
        <f t="shared" si="4"/>
        <v>1.5</v>
      </c>
    </row>
    <row r="138" spans="1:15" x14ac:dyDescent="0.25">
      <c r="A138" s="39"/>
      <c r="B138" s="41"/>
      <c r="C138" t="s">
        <v>628</v>
      </c>
      <c r="D138" t="s">
        <v>51</v>
      </c>
      <c r="E138" s="3">
        <f t="shared" si="5"/>
        <v>3</v>
      </c>
      <c r="F138">
        <v>51.14</v>
      </c>
      <c r="G138">
        <v>4</v>
      </c>
      <c r="H138">
        <v>15.39</v>
      </c>
      <c r="I138">
        <v>6.9</v>
      </c>
      <c r="J138">
        <v>3.9</v>
      </c>
      <c r="K138">
        <v>2</v>
      </c>
      <c r="L138">
        <v>8</v>
      </c>
      <c r="M138">
        <v>-0.5</v>
      </c>
      <c r="N138">
        <v>-3.5</v>
      </c>
      <c r="O138" s="19">
        <f t="shared" si="4"/>
        <v>1.5</v>
      </c>
    </row>
    <row r="139" spans="1:15" x14ac:dyDescent="0.25">
      <c r="A139" s="39"/>
      <c r="B139" s="41"/>
      <c r="C139" t="s">
        <v>629</v>
      </c>
      <c r="D139" t="s">
        <v>51</v>
      </c>
      <c r="E139" s="3">
        <f t="shared" si="5"/>
        <v>3</v>
      </c>
      <c r="F139">
        <v>51.14</v>
      </c>
      <c r="G139">
        <v>4</v>
      </c>
      <c r="H139">
        <v>15.39</v>
      </c>
      <c r="I139">
        <v>6.9</v>
      </c>
      <c r="J139">
        <v>3.9</v>
      </c>
      <c r="K139">
        <v>2</v>
      </c>
      <c r="L139">
        <v>8</v>
      </c>
      <c r="M139">
        <v>-0.5</v>
      </c>
      <c r="N139">
        <v>-3.5</v>
      </c>
      <c r="O139" s="19">
        <f t="shared" si="4"/>
        <v>1.5</v>
      </c>
    </row>
    <row r="140" spans="1:15" x14ac:dyDescent="0.25">
      <c r="A140" s="39"/>
      <c r="B140" s="41"/>
      <c r="C140" t="s">
        <v>630</v>
      </c>
      <c r="D140" t="s">
        <v>51</v>
      </c>
      <c r="E140" s="3">
        <f t="shared" si="5"/>
        <v>3</v>
      </c>
      <c r="F140">
        <v>51.14</v>
      </c>
      <c r="G140">
        <v>4</v>
      </c>
      <c r="H140">
        <v>15.39</v>
      </c>
      <c r="I140">
        <v>6.9</v>
      </c>
      <c r="J140">
        <v>3.9</v>
      </c>
      <c r="K140">
        <v>2</v>
      </c>
      <c r="L140">
        <v>8</v>
      </c>
      <c r="M140">
        <v>-0.5</v>
      </c>
      <c r="N140">
        <v>-3.5</v>
      </c>
      <c r="O140" s="19">
        <f t="shared" si="4"/>
        <v>1.5</v>
      </c>
    </row>
    <row r="141" spans="1:15" x14ac:dyDescent="0.25">
      <c r="A141" s="39"/>
      <c r="B141" s="42"/>
      <c r="C141" s="10" t="s">
        <v>631</v>
      </c>
      <c r="D141" s="10" t="s">
        <v>51</v>
      </c>
      <c r="E141" s="11">
        <f t="shared" si="5"/>
        <v>3</v>
      </c>
      <c r="F141" s="10">
        <v>51.14</v>
      </c>
      <c r="G141" s="10">
        <v>4</v>
      </c>
      <c r="H141" s="10">
        <v>15.39</v>
      </c>
      <c r="I141" s="10">
        <v>6.9</v>
      </c>
      <c r="J141" s="10">
        <v>3.9</v>
      </c>
      <c r="K141" s="10">
        <v>2</v>
      </c>
      <c r="L141" s="10">
        <v>8</v>
      </c>
      <c r="M141" s="10">
        <v>-0.5</v>
      </c>
      <c r="N141" s="10">
        <v>-3.5</v>
      </c>
      <c r="O141" s="20">
        <f t="shared" si="4"/>
        <v>1.5</v>
      </c>
    </row>
    <row r="142" spans="1:15" x14ac:dyDescent="0.25">
      <c r="A142" s="39"/>
      <c r="B142" s="40" t="s">
        <v>6</v>
      </c>
      <c r="C142" s="7" t="s">
        <v>632</v>
      </c>
      <c r="D142" s="7" t="s">
        <v>181</v>
      </c>
      <c r="E142" s="3">
        <f t="shared" si="5"/>
        <v>4</v>
      </c>
      <c r="F142" s="7">
        <v>76.709999999999994</v>
      </c>
      <c r="G142" s="7">
        <v>4</v>
      </c>
      <c r="H142" s="7">
        <v>23.09</v>
      </c>
      <c r="I142" s="7">
        <v>14.59</v>
      </c>
      <c r="J142" s="7">
        <v>11.59</v>
      </c>
      <c r="K142" s="7">
        <v>4</v>
      </c>
      <c r="L142" s="7">
        <v>12</v>
      </c>
      <c r="M142" s="7">
        <v>3.5</v>
      </c>
      <c r="N142" s="7">
        <v>0.5</v>
      </c>
      <c r="O142" s="18">
        <f t="shared" si="4"/>
        <v>1</v>
      </c>
    </row>
    <row r="143" spans="1:15" x14ac:dyDescent="0.25">
      <c r="A143" s="39"/>
      <c r="B143" s="41"/>
      <c r="C143" t="s">
        <v>633</v>
      </c>
      <c r="D143" t="s">
        <v>181</v>
      </c>
      <c r="E143" s="3">
        <f t="shared" si="5"/>
        <v>4</v>
      </c>
      <c r="F143">
        <v>76.709999999999994</v>
      </c>
      <c r="G143">
        <v>4</v>
      </c>
      <c r="H143">
        <v>23.09</v>
      </c>
      <c r="I143">
        <v>14.59</v>
      </c>
      <c r="J143">
        <v>11.59</v>
      </c>
      <c r="K143">
        <v>4</v>
      </c>
      <c r="L143">
        <v>12</v>
      </c>
      <c r="M143">
        <v>3.5</v>
      </c>
      <c r="N143">
        <v>0.5</v>
      </c>
      <c r="O143" s="19">
        <f t="shared" si="4"/>
        <v>1</v>
      </c>
    </row>
    <row r="144" spans="1:15" x14ac:dyDescent="0.25">
      <c r="A144" s="39"/>
      <c r="B144" s="41"/>
      <c r="C144" t="s">
        <v>634</v>
      </c>
      <c r="D144" t="s">
        <v>181</v>
      </c>
      <c r="E144" s="3">
        <f t="shared" si="5"/>
        <v>4</v>
      </c>
      <c r="F144">
        <v>76.709999999999994</v>
      </c>
      <c r="G144">
        <v>4</v>
      </c>
      <c r="H144">
        <v>23.09</v>
      </c>
      <c r="I144">
        <v>14.59</v>
      </c>
      <c r="J144">
        <v>11.59</v>
      </c>
      <c r="K144">
        <v>4</v>
      </c>
      <c r="L144">
        <v>12</v>
      </c>
      <c r="M144">
        <v>3.5</v>
      </c>
      <c r="N144">
        <v>0.5</v>
      </c>
      <c r="O144" s="19">
        <f t="shared" si="4"/>
        <v>1</v>
      </c>
    </row>
    <row r="145" spans="1:15" x14ac:dyDescent="0.25">
      <c r="A145" s="39"/>
      <c r="B145" s="41"/>
      <c r="C145" t="s">
        <v>635</v>
      </c>
      <c r="D145" t="s">
        <v>181</v>
      </c>
      <c r="E145" s="3">
        <f t="shared" si="5"/>
        <v>4</v>
      </c>
      <c r="F145">
        <v>76.709999999999994</v>
      </c>
      <c r="G145">
        <v>4</v>
      </c>
      <c r="H145">
        <v>23.09</v>
      </c>
      <c r="I145">
        <v>14.59</v>
      </c>
      <c r="J145">
        <v>11.59</v>
      </c>
      <c r="K145">
        <v>4</v>
      </c>
      <c r="L145">
        <v>12</v>
      </c>
      <c r="M145">
        <v>3.5</v>
      </c>
      <c r="N145">
        <v>0.5</v>
      </c>
      <c r="O145" s="19">
        <f t="shared" si="4"/>
        <v>1</v>
      </c>
    </row>
    <row r="146" spans="1:15" x14ac:dyDescent="0.25">
      <c r="A146" s="39"/>
      <c r="B146" s="41"/>
      <c r="C146" t="s">
        <v>636</v>
      </c>
      <c r="D146" t="s">
        <v>181</v>
      </c>
      <c r="E146" s="3">
        <f t="shared" si="5"/>
        <v>4</v>
      </c>
      <c r="F146">
        <v>76.709999999999994</v>
      </c>
      <c r="G146">
        <v>4</v>
      </c>
      <c r="H146">
        <v>23.09</v>
      </c>
      <c r="I146">
        <v>14.59</v>
      </c>
      <c r="J146">
        <v>11.59</v>
      </c>
      <c r="K146">
        <v>4</v>
      </c>
      <c r="L146">
        <v>12</v>
      </c>
      <c r="M146">
        <v>3.5</v>
      </c>
      <c r="N146">
        <v>0.5</v>
      </c>
      <c r="O146" s="19">
        <f t="shared" si="4"/>
        <v>1</v>
      </c>
    </row>
    <row r="147" spans="1:15" x14ac:dyDescent="0.25">
      <c r="A147" s="39"/>
      <c r="B147" s="41"/>
      <c r="C147" t="s">
        <v>637</v>
      </c>
      <c r="D147" t="s">
        <v>181</v>
      </c>
      <c r="E147" s="3">
        <f t="shared" si="5"/>
        <v>4</v>
      </c>
      <c r="F147">
        <v>76.709999999999994</v>
      </c>
      <c r="G147">
        <v>4</v>
      </c>
      <c r="H147">
        <v>23.09</v>
      </c>
      <c r="I147">
        <v>14.59</v>
      </c>
      <c r="J147">
        <v>11.59</v>
      </c>
      <c r="K147">
        <v>4</v>
      </c>
      <c r="L147">
        <v>12</v>
      </c>
      <c r="M147">
        <v>3.5</v>
      </c>
      <c r="N147">
        <v>0.5</v>
      </c>
      <c r="O147" s="19">
        <f t="shared" si="4"/>
        <v>1</v>
      </c>
    </row>
    <row r="148" spans="1:15" x14ac:dyDescent="0.25">
      <c r="A148" s="39"/>
      <c r="B148" s="41"/>
      <c r="C148" t="s">
        <v>638</v>
      </c>
      <c r="D148" t="s">
        <v>181</v>
      </c>
      <c r="E148" s="3">
        <f t="shared" si="5"/>
        <v>4</v>
      </c>
      <c r="F148">
        <v>76.709999999999994</v>
      </c>
      <c r="G148">
        <v>4</v>
      </c>
      <c r="H148">
        <v>23.09</v>
      </c>
      <c r="I148">
        <v>14.59</v>
      </c>
      <c r="J148">
        <v>11.59</v>
      </c>
      <c r="K148">
        <v>4</v>
      </c>
      <c r="L148">
        <v>12</v>
      </c>
      <c r="M148">
        <v>3.5</v>
      </c>
      <c r="N148">
        <v>0.5</v>
      </c>
      <c r="O148" s="19">
        <f t="shared" si="4"/>
        <v>1</v>
      </c>
    </row>
    <row r="149" spans="1:15" x14ac:dyDescent="0.25">
      <c r="A149" s="39"/>
      <c r="B149" s="41"/>
      <c r="C149" t="s">
        <v>639</v>
      </c>
      <c r="D149" t="s">
        <v>181</v>
      </c>
      <c r="E149" s="3">
        <f t="shared" si="5"/>
        <v>4</v>
      </c>
      <c r="F149">
        <v>76.709999999999994</v>
      </c>
      <c r="G149">
        <v>4</v>
      </c>
      <c r="H149">
        <v>23.09</v>
      </c>
      <c r="I149">
        <v>14.59</v>
      </c>
      <c r="J149">
        <v>11.59</v>
      </c>
      <c r="K149">
        <v>4</v>
      </c>
      <c r="L149">
        <v>12</v>
      </c>
      <c r="M149">
        <v>3.5</v>
      </c>
      <c r="N149">
        <v>0.5</v>
      </c>
      <c r="O149" s="19">
        <f t="shared" si="4"/>
        <v>1</v>
      </c>
    </row>
    <row r="150" spans="1:15" x14ac:dyDescent="0.25">
      <c r="A150" s="39"/>
      <c r="B150" s="41"/>
      <c r="C150" t="s">
        <v>640</v>
      </c>
      <c r="D150" t="s">
        <v>181</v>
      </c>
      <c r="E150" s="3">
        <f t="shared" si="5"/>
        <v>4</v>
      </c>
      <c r="F150">
        <v>76.709999999999994</v>
      </c>
      <c r="G150">
        <v>4</v>
      </c>
      <c r="H150">
        <v>23.09</v>
      </c>
      <c r="I150">
        <v>14.59</v>
      </c>
      <c r="J150">
        <v>11.59</v>
      </c>
      <c r="K150">
        <v>4</v>
      </c>
      <c r="L150">
        <v>11</v>
      </c>
      <c r="M150">
        <v>2.5</v>
      </c>
      <c r="N150">
        <v>-0.5</v>
      </c>
      <c r="O150" s="19">
        <f t="shared" si="4"/>
        <v>1</v>
      </c>
    </row>
    <row r="151" spans="1:15" x14ac:dyDescent="0.25">
      <c r="A151" s="39"/>
      <c r="B151" s="41"/>
      <c r="C151" t="s">
        <v>641</v>
      </c>
      <c r="D151" t="s">
        <v>181</v>
      </c>
      <c r="E151" s="3">
        <f t="shared" si="5"/>
        <v>4</v>
      </c>
      <c r="F151">
        <v>76.709999999999994</v>
      </c>
      <c r="G151">
        <v>4</v>
      </c>
      <c r="H151">
        <v>23.09</v>
      </c>
      <c r="I151">
        <v>14.59</v>
      </c>
      <c r="J151">
        <v>11.59</v>
      </c>
      <c r="K151">
        <v>4</v>
      </c>
      <c r="L151">
        <v>12</v>
      </c>
      <c r="M151">
        <v>3.5</v>
      </c>
      <c r="N151">
        <v>0.5</v>
      </c>
      <c r="O151" s="19">
        <f t="shared" si="4"/>
        <v>1</v>
      </c>
    </row>
    <row r="152" spans="1:15" x14ac:dyDescent="0.25">
      <c r="A152" s="39"/>
      <c r="B152" s="41"/>
      <c r="C152" t="s">
        <v>642</v>
      </c>
      <c r="D152" t="s">
        <v>181</v>
      </c>
      <c r="E152" s="3">
        <f t="shared" si="5"/>
        <v>4</v>
      </c>
      <c r="F152">
        <v>71.45</v>
      </c>
      <c r="G152">
        <v>4</v>
      </c>
      <c r="H152">
        <v>21.51</v>
      </c>
      <c r="I152">
        <v>13.01</v>
      </c>
      <c r="J152">
        <v>10.01</v>
      </c>
      <c r="K152">
        <v>4</v>
      </c>
      <c r="L152">
        <v>12</v>
      </c>
      <c r="M152">
        <v>3.5</v>
      </c>
      <c r="N152">
        <v>0.5</v>
      </c>
      <c r="O152" s="19">
        <f t="shared" si="4"/>
        <v>1</v>
      </c>
    </row>
    <row r="153" spans="1:15" x14ac:dyDescent="0.25">
      <c r="A153" s="39"/>
      <c r="B153" s="41"/>
      <c r="C153" t="s">
        <v>643</v>
      </c>
      <c r="D153" t="s">
        <v>181</v>
      </c>
      <c r="E153" s="3">
        <f t="shared" si="5"/>
        <v>4</v>
      </c>
      <c r="F153">
        <v>71.45</v>
      </c>
      <c r="G153">
        <v>4</v>
      </c>
      <c r="H153">
        <v>21.51</v>
      </c>
      <c r="I153">
        <v>13.01</v>
      </c>
      <c r="J153">
        <v>10.01</v>
      </c>
      <c r="K153">
        <v>4</v>
      </c>
      <c r="L153">
        <v>12</v>
      </c>
      <c r="M153">
        <v>3.5</v>
      </c>
      <c r="N153">
        <v>0.5</v>
      </c>
      <c r="O153" s="19">
        <f t="shared" si="4"/>
        <v>1</v>
      </c>
    </row>
    <row r="154" spans="1:15" x14ac:dyDescent="0.25">
      <c r="A154" s="39"/>
      <c r="B154" s="41"/>
      <c r="C154" t="s">
        <v>644</v>
      </c>
      <c r="D154" t="s">
        <v>181</v>
      </c>
      <c r="E154" s="3">
        <f t="shared" si="5"/>
        <v>4</v>
      </c>
      <c r="F154">
        <v>71.45</v>
      </c>
      <c r="G154">
        <v>4</v>
      </c>
      <c r="H154">
        <v>21.51</v>
      </c>
      <c r="I154">
        <v>13.01</v>
      </c>
      <c r="J154">
        <v>10.01</v>
      </c>
      <c r="K154">
        <v>4</v>
      </c>
      <c r="L154">
        <v>12</v>
      </c>
      <c r="M154">
        <v>3.5</v>
      </c>
      <c r="N154">
        <v>0.5</v>
      </c>
      <c r="O154" s="19">
        <f t="shared" si="4"/>
        <v>1</v>
      </c>
    </row>
    <row r="155" spans="1:15" x14ac:dyDescent="0.25">
      <c r="A155" s="39"/>
      <c r="B155" s="41"/>
      <c r="C155" t="s">
        <v>645</v>
      </c>
      <c r="D155" t="s">
        <v>181</v>
      </c>
      <c r="E155" s="3">
        <f t="shared" si="5"/>
        <v>4</v>
      </c>
      <c r="F155">
        <v>71.45</v>
      </c>
      <c r="G155">
        <v>4</v>
      </c>
      <c r="H155">
        <v>21.51</v>
      </c>
      <c r="I155">
        <v>13.01</v>
      </c>
      <c r="J155">
        <v>10.01</v>
      </c>
      <c r="K155">
        <v>4</v>
      </c>
      <c r="L155">
        <v>12</v>
      </c>
      <c r="M155">
        <v>3.5</v>
      </c>
      <c r="N155">
        <v>0.5</v>
      </c>
      <c r="O155" s="19">
        <f t="shared" si="4"/>
        <v>1</v>
      </c>
    </row>
    <row r="156" spans="1:15" x14ac:dyDescent="0.25">
      <c r="A156" s="39"/>
      <c r="B156" s="41"/>
      <c r="C156" t="s">
        <v>646</v>
      </c>
      <c r="D156" t="s">
        <v>181</v>
      </c>
      <c r="E156" s="3">
        <f t="shared" si="5"/>
        <v>4</v>
      </c>
      <c r="F156">
        <v>71.45</v>
      </c>
      <c r="G156">
        <v>4</v>
      </c>
      <c r="H156">
        <v>21.51</v>
      </c>
      <c r="I156">
        <v>13.01</v>
      </c>
      <c r="J156">
        <v>10.01</v>
      </c>
      <c r="K156">
        <v>4</v>
      </c>
      <c r="L156">
        <v>12</v>
      </c>
      <c r="M156">
        <v>3.5</v>
      </c>
      <c r="N156">
        <v>0.5</v>
      </c>
      <c r="O156" s="19">
        <f t="shared" si="4"/>
        <v>1</v>
      </c>
    </row>
    <row r="157" spans="1:15" x14ac:dyDescent="0.25">
      <c r="A157" s="39"/>
      <c r="B157" s="41"/>
      <c r="C157" t="s">
        <v>647</v>
      </c>
      <c r="D157" t="s">
        <v>181</v>
      </c>
      <c r="E157" s="3">
        <f t="shared" si="5"/>
        <v>4</v>
      </c>
      <c r="F157">
        <v>71.45</v>
      </c>
      <c r="G157">
        <v>4</v>
      </c>
      <c r="H157">
        <v>21.51</v>
      </c>
      <c r="I157">
        <v>13.01</v>
      </c>
      <c r="J157">
        <v>10.01</v>
      </c>
      <c r="K157">
        <v>4</v>
      </c>
      <c r="L157">
        <v>12</v>
      </c>
      <c r="M157">
        <v>3.5</v>
      </c>
      <c r="N157">
        <v>0.5</v>
      </c>
      <c r="O157" s="19">
        <f t="shared" si="4"/>
        <v>1</v>
      </c>
    </row>
    <row r="158" spans="1:15" x14ac:dyDescent="0.25">
      <c r="A158" s="39"/>
      <c r="B158" s="41"/>
      <c r="C158" t="s">
        <v>648</v>
      </c>
      <c r="D158" t="s">
        <v>181</v>
      </c>
      <c r="E158" s="3">
        <f t="shared" si="5"/>
        <v>4</v>
      </c>
      <c r="F158">
        <v>71.45</v>
      </c>
      <c r="G158">
        <v>4</v>
      </c>
      <c r="H158">
        <v>21.51</v>
      </c>
      <c r="I158">
        <v>13.01</v>
      </c>
      <c r="J158">
        <v>10.01</v>
      </c>
      <c r="K158">
        <v>4</v>
      </c>
      <c r="L158">
        <v>12</v>
      </c>
      <c r="M158">
        <v>3.5</v>
      </c>
      <c r="N158">
        <v>0.5</v>
      </c>
      <c r="O158" s="19">
        <f t="shared" si="4"/>
        <v>1</v>
      </c>
    </row>
    <row r="159" spans="1:15" x14ac:dyDescent="0.25">
      <c r="A159" s="39"/>
      <c r="B159" s="41"/>
      <c r="C159" t="s">
        <v>649</v>
      </c>
      <c r="D159" t="s">
        <v>181</v>
      </c>
      <c r="E159" s="3">
        <f t="shared" si="5"/>
        <v>4</v>
      </c>
      <c r="F159">
        <v>71.45</v>
      </c>
      <c r="G159">
        <v>4</v>
      </c>
      <c r="H159">
        <v>21.51</v>
      </c>
      <c r="I159">
        <v>13.01</v>
      </c>
      <c r="J159">
        <v>10.01</v>
      </c>
      <c r="K159">
        <v>4</v>
      </c>
      <c r="L159">
        <v>12</v>
      </c>
      <c r="M159">
        <v>3.5</v>
      </c>
      <c r="N159">
        <v>0.5</v>
      </c>
      <c r="O159" s="19">
        <f t="shared" si="4"/>
        <v>1</v>
      </c>
    </row>
    <row r="160" spans="1:15" x14ac:dyDescent="0.25">
      <c r="A160" s="39"/>
      <c r="B160" s="41"/>
      <c r="C160" t="s">
        <v>650</v>
      </c>
      <c r="D160" t="s">
        <v>181</v>
      </c>
      <c r="E160" s="3">
        <f t="shared" si="5"/>
        <v>4</v>
      </c>
      <c r="F160">
        <v>71.45</v>
      </c>
      <c r="G160">
        <v>4</v>
      </c>
      <c r="H160">
        <v>21.51</v>
      </c>
      <c r="I160">
        <v>13.01</v>
      </c>
      <c r="J160">
        <v>10.01</v>
      </c>
      <c r="K160">
        <v>4</v>
      </c>
      <c r="L160">
        <v>12</v>
      </c>
      <c r="M160">
        <v>3.5</v>
      </c>
      <c r="N160">
        <v>0.5</v>
      </c>
      <c r="O160" s="19">
        <f t="shared" si="4"/>
        <v>1</v>
      </c>
    </row>
    <row r="161" spans="1:15" x14ac:dyDescent="0.25">
      <c r="A161" s="39"/>
      <c r="B161" s="42"/>
      <c r="C161" s="10" t="s">
        <v>651</v>
      </c>
      <c r="D161" s="10" t="s">
        <v>181</v>
      </c>
      <c r="E161" s="11">
        <f t="shared" si="5"/>
        <v>4</v>
      </c>
      <c r="F161" s="10">
        <v>71.45</v>
      </c>
      <c r="G161" s="10">
        <v>4</v>
      </c>
      <c r="H161" s="10">
        <v>21.51</v>
      </c>
      <c r="I161" s="10">
        <v>13.01</v>
      </c>
      <c r="J161" s="10">
        <v>10.01</v>
      </c>
      <c r="K161" s="10">
        <v>4</v>
      </c>
      <c r="L161" s="10">
        <v>12</v>
      </c>
      <c r="M161" s="10">
        <v>3.5</v>
      </c>
      <c r="N161" s="10">
        <v>0.5</v>
      </c>
      <c r="O161" s="20">
        <f t="shared" si="4"/>
        <v>1</v>
      </c>
    </row>
    <row r="162" spans="1:15" x14ac:dyDescent="0.25">
      <c r="A162" s="39"/>
      <c r="B162" s="40" t="s">
        <v>5</v>
      </c>
      <c r="C162" s="7" t="s">
        <v>652</v>
      </c>
      <c r="D162" s="7" t="s">
        <v>181</v>
      </c>
      <c r="E162" s="3">
        <f t="shared" si="5"/>
        <v>4</v>
      </c>
      <c r="F162" s="7">
        <v>95.27</v>
      </c>
      <c r="G162" s="7">
        <v>4</v>
      </c>
      <c r="H162" s="7">
        <v>28.68</v>
      </c>
      <c r="I162" s="7">
        <v>20.18</v>
      </c>
      <c r="J162" s="7">
        <v>17.18</v>
      </c>
      <c r="K162" s="7">
        <v>4</v>
      </c>
      <c r="L162" s="7">
        <v>16</v>
      </c>
      <c r="M162" s="7">
        <v>7.5</v>
      </c>
      <c r="N162" s="7">
        <v>4.5</v>
      </c>
      <c r="O162" s="18">
        <f t="shared" si="4"/>
        <v>1</v>
      </c>
    </row>
    <row r="163" spans="1:15" x14ac:dyDescent="0.25">
      <c r="A163" s="39"/>
      <c r="B163" s="41"/>
      <c r="C163" t="s">
        <v>653</v>
      </c>
      <c r="D163" t="s">
        <v>181</v>
      </c>
      <c r="E163" s="3">
        <f t="shared" si="5"/>
        <v>4</v>
      </c>
      <c r="F163">
        <v>95.27</v>
      </c>
      <c r="G163">
        <v>4</v>
      </c>
      <c r="H163">
        <v>28.68</v>
      </c>
      <c r="I163">
        <v>20.18</v>
      </c>
      <c r="J163">
        <v>17.18</v>
      </c>
      <c r="K163">
        <v>4</v>
      </c>
      <c r="L163">
        <v>16</v>
      </c>
      <c r="M163">
        <v>7.5</v>
      </c>
      <c r="N163">
        <v>4.5</v>
      </c>
      <c r="O163" s="19">
        <f t="shared" si="4"/>
        <v>1</v>
      </c>
    </row>
    <row r="164" spans="1:15" x14ac:dyDescent="0.25">
      <c r="A164" s="39"/>
      <c r="B164" s="41"/>
      <c r="C164" t="s">
        <v>654</v>
      </c>
      <c r="D164" t="s">
        <v>181</v>
      </c>
      <c r="E164" s="3">
        <f t="shared" si="5"/>
        <v>4</v>
      </c>
      <c r="F164">
        <v>95.27</v>
      </c>
      <c r="G164">
        <v>4</v>
      </c>
      <c r="H164">
        <v>28.68</v>
      </c>
      <c r="I164">
        <v>20.18</v>
      </c>
      <c r="J164">
        <v>17.18</v>
      </c>
      <c r="K164">
        <v>4</v>
      </c>
      <c r="L164">
        <v>16</v>
      </c>
      <c r="M164">
        <v>7.5</v>
      </c>
      <c r="N164">
        <v>4.5</v>
      </c>
      <c r="O164" s="19">
        <f t="shared" si="4"/>
        <v>1</v>
      </c>
    </row>
    <row r="165" spans="1:15" x14ac:dyDescent="0.25">
      <c r="A165" s="39"/>
      <c r="B165" s="41"/>
      <c r="C165" t="s">
        <v>655</v>
      </c>
      <c r="D165" t="s">
        <v>181</v>
      </c>
      <c r="E165" s="3">
        <f t="shared" si="5"/>
        <v>4</v>
      </c>
      <c r="F165">
        <v>95.27</v>
      </c>
      <c r="G165">
        <v>4</v>
      </c>
      <c r="H165">
        <v>28.68</v>
      </c>
      <c r="I165">
        <v>20.18</v>
      </c>
      <c r="J165">
        <v>17.18</v>
      </c>
      <c r="K165">
        <v>4</v>
      </c>
      <c r="L165">
        <v>16</v>
      </c>
      <c r="M165">
        <v>7.5</v>
      </c>
      <c r="N165">
        <v>4.5</v>
      </c>
      <c r="O165" s="19">
        <f t="shared" si="4"/>
        <v>1</v>
      </c>
    </row>
    <row r="166" spans="1:15" x14ac:dyDescent="0.25">
      <c r="A166" s="39"/>
      <c r="B166" s="41"/>
      <c r="C166" t="s">
        <v>656</v>
      </c>
      <c r="D166" t="s">
        <v>181</v>
      </c>
      <c r="E166" s="3">
        <f t="shared" si="5"/>
        <v>4</v>
      </c>
      <c r="F166">
        <v>95.27</v>
      </c>
      <c r="G166">
        <v>4</v>
      </c>
      <c r="H166">
        <v>28.68</v>
      </c>
      <c r="I166">
        <v>20.18</v>
      </c>
      <c r="J166">
        <v>17.18</v>
      </c>
      <c r="K166">
        <v>4</v>
      </c>
      <c r="L166">
        <v>16</v>
      </c>
      <c r="M166">
        <v>7.5</v>
      </c>
      <c r="N166">
        <v>4.5</v>
      </c>
      <c r="O166" s="19">
        <f t="shared" si="4"/>
        <v>1</v>
      </c>
    </row>
    <row r="167" spans="1:15" x14ac:dyDescent="0.25">
      <c r="A167" s="39"/>
      <c r="B167" s="41"/>
      <c r="C167" t="s">
        <v>657</v>
      </c>
      <c r="D167" t="s">
        <v>181</v>
      </c>
      <c r="E167" s="3">
        <f t="shared" si="5"/>
        <v>4</v>
      </c>
      <c r="F167">
        <v>95.27</v>
      </c>
      <c r="G167">
        <v>4</v>
      </c>
      <c r="H167">
        <v>28.68</v>
      </c>
      <c r="I167">
        <v>20.18</v>
      </c>
      <c r="J167">
        <v>17.18</v>
      </c>
      <c r="K167">
        <v>4</v>
      </c>
      <c r="L167">
        <v>16</v>
      </c>
      <c r="M167">
        <v>7.5</v>
      </c>
      <c r="N167">
        <v>4.5</v>
      </c>
      <c r="O167" s="19">
        <f t="shared" si="4"/>
        <v>1</v>
      </c>
    </row>
    <row r="168" spans="1:15" x14ac:dyDescent="0.25">
      <c r="A168" s="39"/>
      <c r="B168" s="41"/>
      <c r="C168" t="s">
        <v>658</v>
      </c>
      <c r="D168" t="s">
        <v>181</v>
      </c>
      <c r="E168" s="3">
        <f t="shared" si="5"/>
        <v>4</v>
      </c>
      <c r="F168">
        <v>95.27</v>
      </c>
      <c r="G168">
        <v>4</v>
      </c>
      <c r="H168">
        <v>28.68</v>
      </c>
      <c r="I168">
        <v>20.18</v>
      </c>
      <c r="J168">
        <v>17.18</v>
      </c>
      <c r="K168">
        <v>4</v>
      </c>
      <c r="L168">
        <v>16</v>
      </c>
      <c r="M168">
        <v>7.5</v>
      </c>
      <c r="N168">
        <v>4.5</v>
      </c>
      <c r="O168" s="19">
        <f t="shared" si="4"/>
        <v>1</v>
      </c>
    </row>
    <row r="169" spans="1:15" x14ac:dyDescent="0.25">
      <c r="A169" s="39"/>
      <c r="B169" s="41"/>
      <c r="C169" t="s">
        <v>659</v>
      </c>
      <c r="D169" t="s">
        <v>181</v>
      </c>
      <c r="E169" s="3">
        <f t="shared" si="5"/>
        <v>4</v>
      </c>
      <c r="F169">
        <v>95.27</v>
      </c>
      <c r="G169">
        <v>4</v>
      </c>
      <c r="H169">
        <v>28.68</v>
      </c>
      <c r="I169">
        <v>20.18</v>
      </c>
      <c r="J169">
        <v>17.18</v>
      </c>
      <c r="K169">
        <v>4</v>
      </c>
      <c r="L169">
        <v>16</v>
      </c>
      <c r="M169">
        <v>7.5</v>
      </c>
      <c r="N169">
        <v>4.5</v>
      </c>
      <c r="O169" s="19">
        <f t="shared" si="4"/>
        <v>1</v>
      </c>
    </row>
    <row r="170" spans="1:15" x14ac:dyDescent="0.25">
      <c r="A170" s="39"/>
      <c r="B170" s="41"/>
      <c r="C170" t="s">
        <v>660</v>
      </c>
      <c r="D170" t="s">
        <v>181</v>
      </c>
      <c r="E170" s="3">
        <f t="shared" si="5"/>
        <v>4</v>
      </c>
      <c r="F170">
        <v>95.27</v>
      </c>
      <c r="G170">
        <v>4</v>
      </c>
      <c r="H170">
        <v>28.68</v>
      </c>
      <c r="I170">
        <v>20.18</v>
      </c>
      <c r="J170">
        <v>17.18</v>
      </c>
      <c r="K170">
        <v>4</v>
      </c>
      <c r="L170">
        <v>16</v>
      </c>
      <c r="M170">
        <v>7.5</v>
      </c>
      <c r="N170">
        <v>4.5</v>
      </c>
      <c r="O170" s="19">
        <f t="shared" si="4"/>
        <v>1</v>
      </c>
    </row>
    <row r="171" spans="1:15" x14ac:dyDescent="0.25">
      <c r="A171" s="39"/>
      <c r="B171" s="41"/>
      <c r="C171" t="s">
        <v>661</v>
      </c>
      <c r="D171" t="s">
        <v>181</v>
      </c>
      <c r="E171" s="3">
        <f t="shared" si="5"/>
        <v>4</v>
      </c>
      <c r="F171">
        <v>95.27</v>
      </c>
      <c r="G171">
        <v>4</v>
      </c>
      <c r="H171">
        <v>28.68</v>
      </c>
      <c r="I171">
        <v>20.18</v>
      </c>
      <c r="J171">
        <v>17.18</v>
      </c>
      <c r="K171">
        <v>4</v>
      </c>
      <c r="L171">
        <v>16</v>
      </c>
      <c r="M171">
        <v>7.5</v>
      </c>
      <c r="N171">
        <v>4.5</v>
      </c>
      <c r="O171" s="19">
        <f t="shared" si="4"/>
        <v>1</v>
      </c>
    </row>
    <row r="172" spans="1:15" x14ac:dyDescent="0.25">
      <c r="A172" s="39"/>
      <c r="B172" s="41"/>
      <c r="C172" t="s">
        <v>662</v>
      </c>
      <c r="D172" t="s">
        <v>181</v>
      </c>
      <c r="E172" s="3">
        <f t="shared" si="5"/>
        <v>4</v>
      </c>
      <c r="F172">
        <v>102.28</v>
      </c>
      <c r="G172">
        <v>4</v>
      </c>
      <c r="H172">
        <v>30.79</v>
      </c>
      <c r="I172">
        <v>22.29</v>
      </c>
      <c r="J172">
        <v>19.29</v>
      </c>
      <c r="K172">
        <v>4</v>
      </c>
      <c r="L172">
        <v>16</v>
      </c>
      <c r="M172">
        <v>7.5</v>
      </c>
      <c r="N172">
        <v>4.5</v>
      </c>
      <c r="O172" s="19">
        <f t="shared" si="4"/>
        <v>1</v>
      </c>
    </row>
    <row r="173" spans="1:15" x14ac:dyDescent="0.25">
      <c r="A173" s="39"/>
      <c r="B173" s="41"/>
      <c r="C173" t="s">
        <v>663</v>
      </c>
      <c r="D173" t="s">
        <v>181</v>
      </c>
      <c r="E173" s="3">
        <f t="shared" si="5"/>
        <v>4</v>
      </c>
      <c r="F173">
        <v>102.28</v>
      </c>
      <c r="G173">
        <v>4</v>
      </c>
      <c r="H173">
        <v>30.79</v>
      </c>
      <c r="I173">
        <v>22.29</v>
      </c>
      <c r="J173">
        <v>19.29</v>
      </c>
      <c r="K173">
        <v>4</v>
      </c>
      <c r="L173">
        <v>16</v>
      </c>
      <c r="M173">
        <v>7.5</v>
      </c>
      <c r="N173">
        <v>4.5</v>
      </c>
      <c r="O173" s="19">
        <f t="shared" si="4"/>
        <v>1</v>
      </c>
    </row>
    <row r="174" spans="1:15" x14ac:dyDescent="0.25">
      <c r="A174" s="39"/>
      <c r="B174" s="41"/>
      <c r="C174" t="s">
        <v>664</v>
      </c>
      <c r="D174" t="s">
        <v>181</v>
      </c>
      <c r="E174" s="3">
        <f t="shared" si="5"/>
        <v>4</v>
      </c>
      <c r="F174">
        <v>102.28</v>
      </c>
      <c r="G174">
        <v>4</v>
      </c>
      <c r="H174">
        <v>30.79</v>
      </c>
      <c r="I174">
        <v>22.29</v>
      </c>
      <c r="J174">
        <v>19.29</v>
      </c>
      <c r="K174">
        <v>4</v>
      </c>
      <c r="L174">
        <v>16</v>
      </c>
      <c r="M174">
        <v>7.5</v>
      </c>
      <c r="N174">
        <v>4.5</v>
      </c>
      <c r="O174" s="19">
        <f t="shared" si="4"/>
        <v>1</v>
      </c>
    </row>
    <row r="175" spans="1:15" x14ac:dyDescent="0.25">
      <c r="A175" s="39"/>
      <c r="B175" s="41"/>
      <c r="C175" t="s">
        <v>665</v>
      </c>
      <c r="D175" t="s">
        <v>181</v>
      </c>
      <c r="E175" s="3">
        <f t="shared" si="5"/>
        <v>4</v>
      </c>
      <c r="F175">
        <v>102.28</v>
      </c>
      <c r="G175">
        <v>4</v>
      </c>
      <c r="H175">
        <v>30.79</v>
      </c>
      <c r="I175">
        <v>22.29</v>
      </c>
      <c r="J175">
        <v>19.29</v>
      </c>
      <c r="K175">
        <v>4</v>
      </c>
      <c r="L175">
        <v>16</v>
      </c>
      <c r="M175">
        <v>7.5</v>
      </c>
      <c r="N175">
        <v>4.5</v>
      </c>
      <c r="O175" s="19">
        <f t="shared" si="4"/>
        <v>1</v>
      </c>
    </row>
    <row r="176" spans="1:15" x14ac:dyDescent="0.25">
      <c r="A176" s="39"/>
      <c r="B176" s="41"/>
      <c r="C176" t="s">
        <v>666</v>
      </c>
      <c r="D176" t="s">
        <v>181</v>
      </c>
      <c r="E176" s="3">
        <f t="shared" si="5"/>
        <v>4</v>
      </c>
      <c r="F176">
        <v>102.28</v>
      </c>
      <c r="G176">
        <v>4</v>
      </c>
      <c r="H176">
        <v>30.79</v>
      </c>
      <c r="I176">
        <v>22.29</v>
      </c>
      <c r="J176">
        <v>19.29</v>
      </c>
      <c r="K176">
        <v>4</v>
      </c>
      <c r="L176">
        <v>16</v>
      </c>
      <c r="M176">
        <v>7.5</v>
      </c>
      <c r="N176">
        <v>4.5</v>
      </c>
      <c r="O176" s="19">
        <f t="shared" si="4"/>
        <v>1</v>
      </c>
    </row>
    <row r="177" spans="1:15" x14ac:dyDescent="0.25">
      <c r="A177" s="39"/>
      <c r="B177" s="41"/>
      <c r="C177" t="s">
        <v>667</v>
      </c>
      <c r="D177" t="s">
        <v>181</v>
      </c>
      <c r="E177" s="3">
        <f t="shared" si="5"/>
        <v>4</v>
      </c>
      <c r="F177">
        <v>102.28</v>
      </c>
      <c r="G177">
        <v>4</v>
      </c>
      <c r="H177">
        <v>30.79</v>
      </c>
      <c r="I177">
        <v>22.29</v>
      </c>
      <c r="J177">
        <v>19.29</v>
      </c>
      <c r="K177">
        <v>4</v>
      </c>
      <c r="L177">
        <v>16</v>
      </c>
      <c r="M177">
        <v>7.5</v>
      </c>
      <c r="N177">
        <v>4.5</v>
      </c>
      <c r="O177" s="19">
        <f t="shared" si="4"/>
        <v>1</v>
      </c>
    </row>
    <row r="178" spans="1:15" x14ac:dyDescent="0.25">
      <c r="A178" s="39"/>
      <c r="B178" s="41"/>
      <c r="C178" t="s">
        <v>668</v>
      </c>
      <c r="D178" t="s">
        <v>181</v>
      </c>
      <c r="E178" s="3">
        <f t="shared" si="5"/>
        <v>4</v>
      </c>
      <c r="F178">
        <v>102.28</v>
      </c>
      <c r="G178">
        <v>4</v>
      </c>
      <c r="H178">
        <v>30.79</v>
      </c>
      <c r="I178">
        <v>22.29</v>
      </c>
      <c r="J178">
        <v>19.29</v>
      </c>
      <c r="K178">
        <v>4</v>
      </c>
      <c r="L178">
        <v>16</v>
      </c>
      <c r="M178">
        <v>7.5</v>
      </c>
      <c r="N178">
        <v>4.5</v>
      </c>
      <c r="O178" s="19">
        <f t="shared" si="4"/>
        <v>1</v>
      </c>
    </row>
    <row r="179" spans="1:15" x14ac:dyDescent="0.25">
      <c r="A179" s="39"/>
      <c r="B179" s="41"/>
      <c r="C179" t="s">
        <v>669</v>
      </c>
      <c r="D179" t="s">
        <v>181</v>
      </c>
      <c r="E179" s="3">
        <f t="shared" si="5"/>
        <v>4</v>
      </c>
      <c r="F179">
        <v>102.28</v>
      </c>
      <c r="G179">
        <v>4</v>
      </c>
      <c r="H179">
        <v>30.79</v>
      </c>
      <c r="I179">
        <v>22.29</v>
      </c>
      <c r="J179">
        <v>19.29</v>
      </c>
      <c r="K179">
        <v>4</v>
      </c>
      <c r="L179">
        <v>16</v>
      </c>
      <c r="M179">
        <v>7.5</v>
      </c>
      <c r="N179">
        <v>4.5</v>
      </c>
      <c r="O179" s="19">
        <f t="shared" si="4"/>
        <v>1</v>
      </c>
    </row>
    <row r="180" spans="1:15" x14ac:dyDescent="0.25">
      <c r="A180" s="39"/>
      <c r="B180" s="41"/>
      <c r="C180" t="s">
        <v>670</v>
      </c>
      <c r="D180" t="s">
        <v>181</v>
      </c>
      <c r="E180" s="3">
        <f t="shared" si="5"/>
        <v>4</v>
      </c>
      <c r="F180">
        <v>102.28</v>
      </c>
      <c r="G180">
        <v>4</v>
      </c>
      <c r="H180">
        <v>30.79</v>
      </c>
      <c r="I180">
        <v>22.29</v>
      </c>
      <c r="J180">
        <v>19.29</v>
      </c>
      <c r="K180">
        <v>4</v>
      </c>
      <c r="L180">
        <v>16</v>
      </c>
      <c r="M180">
        <v>7.5</v>
      </c>
      <c r="N180">
        <v>4.5</v>
      </c>
      <c r="O180" s="19">
        <f t="shared" si="4"/>
        <v>1</v>
      </c>
    </row>
    <row r="181" spans="1:15" x14ac:dyDescent="0.25">
      <c r="A181" s="39"/>
      <c r="B181" s="42"/>
      <c r="C181" s="10" t="s">
        <v>671</v>
      </c>
      <c r="D181" s="10" t="s">
        <v>181</v>
      </c>
      <c r="E181" s="11">
        <f t="shared" si="5"/>
        <v>4</v>
      </c>
      <c r="F181" s="10">
        <v>102.28</v>
      </c>
      <c r="G181" s="10">
        <v>4</v>
      </c>
      <c r="H181" s="10">
        <v>30.79</v>
      </c>
      <c r="I181" s="10">
        <v>22.29</v>
      </c>
      <c r="J181" s="10">
        <v>19.29</v>
      </c>
      <c r="K181" s="10">
        <v>4</v>
      </c>
      <c r="L181" s="10">
        <v>16</v>
      </c>
      <c r="M181" s="10">
        <v>7.5</v>
      </c>
      <c r="N181" s="10">
        <v>4.5</v>
      </c>
      <c r="O181" s="20">
        <f t="shared" si="4"/>
        <v>1</v>
      </c>
    </row>
    <row r="182" spans="1:15" x14ac:dyDescent="0.25">
      <c r="A182" s="39" t="s">
        <v>3</v>
      </c>
      <c r="B182" s="40" t="s">
        <v>4</v>
      </c>
      <c r="C182" s="7" t="s">
        <v>672</v>
      </c>
      <c r="D182" s="7" t="s">
        <v>51</v>
      </c>
      <c r="E182" s="3">
        <f t="shared" si="5"/>
        <v>3</v>
      </c>
      <c r="F182" s="7">
        <v>52.44</v>
      </c>
      <c r="G182" s="7">
        <v>4</v>
      </c>
      <c r="H182" s="7">
        <v>15.79</v>
      </c>
      <c r="I182" s="7">
        <v>7.29</v>
      </c>
      <c r="J182" s="7">
        <v>4.29</v>
      </c>
      <c r="K182" s="7">
        <v>2</v>
      </c>
      <c r="L182" s="7">
        <v>8</v>
      </c>
      <c r="M182" s="7">
        <v>-0.5</v>
      </c>
      <c r="N182" s="7">
        <v>-3.5</v>
      </c>
      <c r="O182" s="18">
        <f t="shared" si="4"/>
        <v>1.5</v>
      </c>
    </row>
    <row r="183" spans="1:15" x14ac:dyDescent="0.25">
      <c r="A183" s="39"/>
      <c r="B183" s="41"/>
      <c r="C183" t="s">
        <v>673</v>
      </c>
      <c r="D183" t="s">
        <v>51</v>
      </c>
      <c r="E183" s="3">
        <f t="shared" si="5"/>
        <v>3</v>
      </c>
      <c r="F183">
        <v>52.44</v>
      </c>
      <c r="G183">
        <v>4</v>
      </c>
      <c r="H183">
        <v>15.79</v>
      </c>
      <c r="I183">
        <v>7.29</v>
      </c>
      <c r="J183">
        <v>4.29</v>
      </c>
      <c r="K183">
        <v>2</v>
      </c>
      <c r="L183">
        <v>8</v>
      </c>
      <c r="M183">
        <v>-0.5</v>
      </c>
      <c r="N183">
        <v>-3.5</v>
      </c>
      <c r="O183" s="19">
        <f t="shared" si="4"/>
        <v>1.5</v>
      </c>
    </row>
    <row r="184" spans="1:15" x14ac:dyDescent="0.25">
      <c r="A184" s="39"/>
      <c r="B184" s="41"/>
      <c r="C184" t="s">
        <v>674</v>
      </c>
      <c r="D184" t="s">
        <v>51</v>
      </c>
      <c r="E184" s="3">
        <f t="shared" si="5"/>
        <v>3</v>
      </c>
      <c r="F184">
        <v>52.44</v>
      </c>
      <c r="G184">
        <v>4</v>
      </c>
      <c r="H184">
        <v>15.79</v>
      </c>
      <c r="I184">
        <v>7.29</v>
      </c>
      <c r="J184">
        <v>4.29</v>
      </c>
      <c r="K184">
        <v>2</v>
      </c>
      <c r="L184">
        <v>8</v>
      </c>
      <c r="M184">
        <v>-0.5</v>
      </c>
      <c r="N184">
        <v>-3.5</v>
      </c>
      <c r="O184" s="19">
        <f t="shared" si="4"/>
        <v>1.5</v>
      </c>
    </row>
    <row r="185" spans="1:15" x14ac:dyDescent="0.25">
      <c r="A185" s="39"/>
      <c r="B185" s="41"/>
      <c r="C185" t="s">
        <v>675</v>
      </c>
      <c r="D185" t="s">
        <v>51</v>
      </c>
      <c r="E185" s="3">
        <f t="shared" si="5"/>
        <v>3</v>
      </c>
      <c r="F185">
        <v>52.44</v>
      </c>
      <c r="G185">
        <v>4</v>
      </c>
      <c r="H185">
        <v>15.79</v>
      </c>
      <c r="I185">
        <v>7.29</v>
      </c>
      <c r="J185">
        <v>4.29</v>
      </c>
      <c r="K185">
        <v>2</v>
      </c>
      <c r="L185">
        <v>8</v>
      </c>
      <c r="M185">
        <v>-0.5</v>
      </c>
      <c r="N185">
        <v>-3.5</v>
      </c>
      <c r="O185" s="19">
        <f t="shared" si="4"/>
        <v>1.5</v>
      </c>
    </row>
    <row r="186" spans="1:15" x14ac:dyDescent="0.25">
      <c r="A186" s="39"/>
      <c r="B186" s="41"/>
      <c r="C186" t="s">
        <v>676</v>
      </c>
      <c r="D186" t="s">
        <v>51</v>
      </c>
      <c r="E186" s="3">
        <f t="shared" si="5"/>
        <v>3</v>
      </c>
      <c r="F186">
        <v>52.44</v>
      </c>
      <c r="G186">
        <v>4</v>
      </c>
      <c r="H186">
        <v>15.79</v>
      </c>
      <c r="I186">
        <v>7.29</v>
      </c>
      <c r="J186">
        <v>4.29</v>
      </c>
      <c r="K186">
        <v>2</v>
      </c>
      <c r="L186">
        <v>8</v>
      </c>
      <c r="M186">
        <v>-0.5</v>
      </c>
      <c r="N186">
        <v>-3.5</v>
      </c>
      <c r="O186" s="19">
        <f t="shared" si="4"/>
        <v>1.5</v>
      </c>
    </row>
    <row r="187" spans="1:15" x14ac:dyDescent="0.25">
      <c r="A187" s="39"/>
      <c r="B187" s="41"/>
      <c r="C187" t="s">
        <v>677</v>
      </c>
      <c r="D187" t="s">
        <v>51</v>
      </c>
      <c r="E187" s="3">
        <f t="shared" si="5"/>
        <v>3</v>
      </c>
      <c r="F187">
        <v>52.44</v>
      </c>
      <c r="G187">
        <v>4</v>
      </c>
      <c r="H187">
        <v>15.79</v>
      </c>
      <c r="I187">
        <v>7.29</v>
      </c>
      <c r="J187">
        <v>4.29</v>
      </c>
      <c r="K187">
        <v>2</v>
      </c>
      <c r="L187">
        <v>8</v>
      </c>
      <c r="M187">
        <v>-0.5</v>
      </c>
      <c r="N187">
        <v>-3.5</v>
      </c>
      <c r="O187" s="19">
        <f t="shared" si="4"/>
        <v>1.5</v>
      </c>
    </row>
    <row r="188" spans="1:15" x14ac:dyDescent="0.25">
      <c r="A188" s="39"/>
      <c r="B188" s="41"/>
      <c r="C188" t="s">
        <v>678</v>
      </c>
      <c r="D188" t="s">
        <v>51</v>
      </c>
      <c r="E188" s="3">
        <f t="shared" si="5"/>
        <v>3</v>
      </c>
      <c r="F188">
        <v>52.44</v>
      </c>
      <c r="G188">
        <v>4</v>
      </c>
      <c r="H188">
        <v>15.79</v>
      </c>
      <c r="I188">
        <v>7.29</v>
      </c>
      <c r="J188">
        <v>4.29</v>
      </c>
      <c r="K188">
        <v>2</v>
      </c>
      <c r="L188">
        <v>8</v>
      </c>
      <c r="M188">
        <v>-0.5</v>
      </c>
      <c r="N188">
        <v>-3.5</v>
      </c>
      <c r="O188" s="19">
        <f t="shared" si="4"/>
        <v>1.5</v>
      </c>
    </row>
    <row r="189" spans="1:15" x14ac:dyDescent="0.25">
      <c r="A189" s="39"/>
      <c r="B189" s="41"/>
      <c r="C189" t="s">
        <v>679</v>
      </c>
      <c r="D189" t="s">
        <v>51</v>
      </c>
      <c r="E189" s="3">
        <f t="shared" si="5"/>
        <v>3</v>
      </c>
      <c r="F189">
        <v>52.44</v>
      </c>
      <c r="G189">
        <v>4</v>
      </c>
      <c r="H189">
        <v>15.79</v>
      </c>
      <c r="I189">
        <v>7.29</v>
      </c>
      <c r="J189">
        <v>4.29</v>
      </c>
      <c r="K189">
        <v>2</v>
      </c>
      <c r="L189">
        <v>8</v>
      </c>
      <c r="M189">
        <v>-0.5</v>
      </c>
      <c r="N189">
        <v>-3.5</v>
      </c>
      <c r="O189" s="19">
        <f t="shared" si="4"/>
        <v>1.5</v>
      </c>
    </row>
    <row r="190" spans="1:15" x14ac:dyDescent="0.25">
      <c r="A190" s="39"/>
      <c r="B190" s="41"/>
      <c r="C190" t="s">
        <v>680</v>
      </c>
      <c r="D190" t="s">
        <v>51</v>
      </c>
      <c r="E190" s="3">
        <f t="shared" si="5"/>
        <v>3</v>
      </c>
      <c r="F190">
        <v>52.44</v>
      </c>
      <c r="G190">
        <v>4</v>
      </c>
      <c r="H190">
        <v>15.79</v>
      </c>
      <c r="I190">
        <v>7.29</v>
      </c>
      <c r="J190">
        <v>4.29</v>
      </c>
      <c r="K190">
        <v>2</v>
      </c>
      <c r="L190">
        <v>8</v>
      </c>
      <c r="M190">
        <v>-0.5</v>
      </c>
      <c r="N190">
        <v>-3.5</v>
      </c>
      <c r="O190" s="19">
        <f t="shared" si="4"/>
        <v>1.5</v>
      </c>
    </row>
    <row r="191" spans="1:15" x14ac:dyDescent="0.25">
      <c r="A191" s="39"/>
      <c r="B191" s="41"/>
      <c r="C191" t="s">
        <v>681</v>
      </c>
      <c r="D191" t="s">
        <v>51</v>
      </c>
      <c r="E191" s="3">
        <f t="shared" si="5"/>
        <v>3</v>
      </c>
      <c r="F191">
        <v>52.44</v>
      </c>
      <c r="G191">
        <v>4</v>
      </c>
      <c r="H191">
        <v>15.79</v>
      </c>
      <c r="I191">
        <v>7.29</v>
      </c>
      <c r="J191">
        <v>4.29</v>
      </c>
      <c r="K191">
        <v>2</v>
      </c>
      <c r="L191">
        <v>8</v>
      </c>
      <c r="M191">
        <v>-0.5</v>
      </c>
      <c r="N191">
        <v>-3.5</v>
      </c>
      <c r="O191" s="19">
        <f t="shared" si="4"/>
        <v>1.5</v>
      </c>
    </row>
    <row r="192" spans="1:15" x14ac:dyDescent="0.25">
      <c r="A192" s="39"/>
      <c r="B192" s="41"/>
      <c r="C192" t="s">
        <v>682</v>
      </c>
      <c r="D192" t="s">
        <v>51</v>
      </c>
      <c r="E192" s="3">
        <f t="shared" si="5"/>
        <v>3</v>
      </c>
      <c r="F192">
        <v>52.44</v>
      </c>
      <c r="G192">
        <v>4</v>
      </c>
      <c r="H192">
        <v>15.79</v>
      </c>
      <c r="I192">
        <v>7.29</v>
      </c>
      <c r="J192">
        <v>4.29</v>
      </c>
      <c r="K192">
        <v>2</v>
      </c>
      <c r="L192">
        <v>8</v>
      </c>
      <c r="M192">
        <v>-0.5</v>
      </c>
      <c r="N192">
        <v>-3.5</v>
      </c>
      <c r="O192" s="19">
        <f t="shared" si="4"/>
        <v>1.5</v>
      </c>
    </row>
    <row r="193" spans="1:15" x14ac:dyDescent="0.25">
      <c r="A193" s="39"/>
      <c r="B193" s="41"/>
      <c r="C193" t="s">
        <v>683</v>
      </c>
      <c r="D193" t="s">
        <v>51</v>
      </c>
      <c r="E193" s="3">
        <f t="shared" si="5"/>
        <v>3</v>
      </c>
      <c r="F193">
        <v>52.44</v>
      </c>
      <c r="G193">
        <v>4</v>
      </c>
      <c r="H193">
        <v>15.79</v>
      </c>
      <c r="I193">
        <v>7.29</v>
      </c>
      <c r="J193">
        <v>4.29</v>
      </c>
      <c r="K193">
        <v>2</v>
      </c>
      <c r="L193">
        <v>8</v>
      </c>
      <c r="M193">
        <v>-0.5</v>
      </c>
      <c r="N193">
        <v>-3.5</v>
      </c>
      <c r="O193" s="19">
        <f t="shared" si="4"/>
        <v>1.5</v>
      </c>
    </row>
    <row r="194" spans="1:15" x14ac:dyDescent="0.25">
      <c r="A194" s="39"/>
      <c r="B194" s="41"/>
      <c r="C194" t="s">
        <v>684</v>
      </c>
      <c r="D194" t="s">
        <v>51</v>
      </c>
      <c r="E194" s="3">
        <f t="shared" si="5"/>
        <v>3</v>
      </c>
      <c r="F194">
        <v>52.44</v>
      </c>
      <c r="G194">
        <v>4</v>
      </c>
      <c r="H194">
        <v>15.79</v>
      </c>
      <c r="I194">
        <v>7.29</v>
      </c>
      <c r="J194">
        <v>4.29</v>
      </c>
      <c r="K194">
        <v>2</v>
      </c>
      <c r="L194">
        <v>8</v>
      </c>
      <c r="M194">
        <v>-0.5</v>
      </c>
      <c r="N194">
        <v>-3.5</v>
      </c>
      <c r="O194" s="19">
        <f t="shared" si="4"/>
        <v>1.5</v>
      </c>
    </row>
    <row r="195" spans="1:15" x14ac:dyDescent="0.25">
      <c r="A195" s="39"/>
      <c r="B195" s="41"/>
      <c r="C195" t="s">
        <v>685</v>
      </c>
      <c r="D195" t="s">
        <v>51</v>
      </c>
      <c r="E195" s="3">
        <f t="shared" si="5"/>
        <v>3</v>
      </c>
      <c r="F195">
        <v>52.44</v>
      </c>
      <c r="G195">
        <v>4</v>
      </c>
      <c r="H195">
        <v>15.79</v>
      </c>
      <c r="I195">
        <v>7.29</v>
      </c>
      <c r="J195">
        <v>4.29</v>
      </c>
      <c r="K195">
        <v>2</v>
      </c>
      <c r="L195">
        <v>8</v>
      </c>
      <c r="M195">
        <v>-0.5</v>
      </c>
      <c r="N195">
        <v>-3.5</v>
      </c>
      <c r="O195" s="19">
        <f t="shared" ref="O195:O241" si="6">E195/K195</f>
        <v>1.5</v>
      </c>
    </row>
    <row r="196" spans="1:15" x14ac:dyDescent="0.25">
      <c r="A196" s="39"/>
      <c r="B196" s="41"/>
      <c r="C196" t="s">
        <v>686</v>
      </c>
      <c r="D196" t="s">
        <v>51</v>
      </c>
      <c r="E196" s="3">
        <f t="shared" ref="E196:E240" si="7">IF(D196="Muito Fraca", 1, IF(D196="Fraca", 2, IF(D196="Média", 3, 4)))</f>
        <v>3</v>
      </c>
      <c r="F196">
        <v>52.44</v>
      </c>
      <c r="G196">
        <v>4</v>
      </c>
      <c r="H196">
        <v>15.79</v>
      </c>
      <c r="I196">
        <v>7.29</v>
      </c>
      <c r="J196">
        <v>4.29</v>
      </c>
      <c r="K196">
        <v>2</v>
      </c>
      <c r="L196">
        <v>8</v>
      </c>
      <c r="M196">
        <v>-0.5</v>
      </c>
      <c r="N196">
        <v>-3.5</v>
      </c>
      <c r="O196" s="19">
        <f t="shared" si="6"/>
        <v>1.5</v>
      </c>
    </row>
    <row r="197" spans="1:15" x14ac:dyDescent="0.25">
      <c r="A197" s="39"/>
      <c r="B197" s="41"/>
      <c r="C197" t="s">
        <v>687</v>
      </c>
      <c r="D197" t="s">
        <v>51</v>
      </c>
      <c r="E197" s="3">
        <f t="shared" si="7"/>
        <v>3</v>
      </c>
      <c r="F197">
        <v>52.44</v>
      </c>
      <c r="G197">
        <v>4</v>
      </c>
      <c r="H197">
        <v>15.79</v>
      </c>
      <c r="I197">
        <v>7.29</v>
      </c>
      <c r="J197">
        <v>4.29</v>
      </c>
      <c r="K197">
        <v>2</v>
      </c>
      <c r="L197">
        <v>8</v>
      </c>
      <c r="M197">
        <v>-0.5</v>
      </c>
      <c r="N197">
        <v>-3.5</v>
      </c>
      <c r="O197" s="19">
        <f t="shared" si="6"/>
        <v>1.5</v>
      </c>
    </row>
    <row r="198" spans="1:15" x14ac:dyDescent="0.25">
      <c r="A198" s="39"/>
      <c r="B198" s="41"/>
      <c r="C198" t="s">
        <v>688</v>
      </c>
      <c r="D198" t="s">
        <v>51</v>
      </c>
      <c r="E198" s="3">
        <f t="shared" si="7"/>
        <v>3</v>
      </c>
      <c r="F198">
        <v>52.44</v>
      </c>
      <c r="G198">
        <v>4</v>
      </c>
      <c r="H198">
        <v>15.79</v>
      </c>
      <c r="I198">
        <v>7.29</v>
      </c>
      <c r="J198">
        <v>4.29</v>
      </c>
      <c r="K198">
        <v>2</v>
      </c>
      <c r="L198">
        <v>8</v>
      </c>
      <c r="M198">
        <v>-0.5</v>
      </c>
      <c r="N198">
        <v>-3.5</v>
      </c>
      <c r="O198" s="19">
        <f t="shared" si="6"/>
        <v>1.5</v>
      </c>
    </row>
    <row r="199" spans="1:15" x14ac:dyDescent="0.25">
      <c r="A199" s="39"/>
      <c r="B199" s="41"/>
      <c r="C199" t="s">
        <v>689</v>
      </c>
      <c r="D199" t="s">
        <v>51</v>
      </c>
      <c r="E199" s="3">
        <f t="shared" si="7"/>
        <v>3</v>
      </c>
      <c r="F199">
        <v>52.44</v>
      </c>
      <c r="G199">
        <v>4</v>
      </c>
      <c r="H199">
        <v>15.79</v>
      </c>
      <c r="I199">
        <v>7.29</v>
      </c>
      <c r="J199">
        <v>4.29</v>
      </c>
      <c r="K199">
        <v>2</v>
      </c>
      <c r="L199">
        <v>8</v>
      </c>
      <c r="M199">
        <v>-0.5</v>
      </c>
      <c r="N199">
        <v>-3.5</v>
      </c>
      <c r="O199" s="19">
        <f t="shared" si="6"/>
        <v>1.5</v>
      </c>
    </row>
    <row r="200" spans="1:15" x14ac:dyDescent="0.25">
      <c r="A200" s="39"/>
      <c r="B200" s="41"/>
      <c r="C200" t="s">
        <v>690</v>
      </c>
      <c r="D200" t="s">
        <v>51</v>
      </c>
      <c r="E200" s="3">
        <f t="shared" si="7"/>
        <v>3</v>
      </c>
      <c r="F200">
        <v>52.44</v>
      </c>
      <c r="G200">
        <v>4</v>
      </c>
      <c r="H200">
        <v>15.79</v>
      </c>
      <c r="I200">
        <v>7.29</v>
      </c>
      <c r="J200">
        <v>4.29</v>
      </c>
      <c r="K200">
        <v>2</v>
      </c>
      <c r="L200">
        <v>8</v>
      </c>
      <c r="M200">
        <v>-0.5</v>
      </c>
      <c r="N200">
        <v>-3.5</v>
      </c>
      <c r="O200" s="19">
        <f t="shared" si="6"/>
        <v>1.5</v>
      </c>
    </row>
    <row r="201" spans="1:15" x14ac:dyDescent="0.25">
      <c r="A201" s="39"/>
      <c r="B201" s="42"/>
      <c r="C201" s="10" t="s">
        <v>691</v>
      </c>
      <c r="D201" s="10" t="s">
        <v>51</v>
      </c>
      <c r="E201" s="11">
        <f t="shared" si="7"/>
        <v>3</v>
      </c>
      <c r="F201" s="10">
        <v>52.44</v>
      </c>
      <c r="G201" s="10">
        <v>4</v>
      </c>
      <c r="H201" s="10">
        <v>15.79</v>
      </c>
      <c r="I201" s="10">
        <v>7.29</v>
      </c>
      <c r="J201" s="10">
        <v>4.29</v>
      </c>
      <c r="K201" s="10">
        <v>2</v>
      </c>
      <c r="L201" s="10">
        <v>8</v>
      </c>
      <c r="M201" s="10">
        <v>-0.5</v>
      </c>
      <c r="N201" s="10">
        <v>-3.5</v>
      </c>
      <c r="O201" s="20">
        <f t="shared" si="6"/>
        <v>1.5</v>
      </c>
    </row>
    <row r="202" spans="1:15" x14ac:dyDescent="0.25">
      <c r="A202" s="39"/>
      <c r="B202" s="40" t="s">
        <v>6</v>
      </c>
      <c r="C202" s="7" t="s">
        <v>692</v>
      </c>
      <c r="D202" s="7" t="s">
        <v>181</v>
      </c>
      <c r="E202" s="3">
        <f t="shared" si="7"/>
        <v>4</v>
      </c>
      <c r="F202" s="7">
        <v>78.66</v>
      </c>
      <c r="G202" s="7">
        <v>4</v>
      </c>
      <c r="H202" s="7">
        <v>23.68</v>
      </c>
      <c r="I202" s="7">
        <v>15.18</v>
      </c>
      <c r="J202" s="7">
        <v>12.18</v>
      </c>
      <c r="K202" s="7">
        <v>4</v>
      </c>
      <c r="L202" s="7">
        <v>12</v>
      </c>
      <c r="M202" s="7">
        <v>3.5</v>
      </c>
      <c r="N202" s="7">
        <v>0.5</v>
      </c>
      <c r="O202" s="18">
        <f t="shared" si="6"/>
        <v>1</v>
      </c>
    </row>
    <row r="203" spans="1:15" x14ac:dyDescent="0.25">
      <c r="A203" s="39"/>
      <c r="B203" s="41"/>
      <c r="C203" t="s">
        <v>693</v>
      </c>
      <c r="D203" t="s">
        <v>181</v>
      </c>
      <c r="E203" s="3">
        <f t="shared" si="7"/>
        <v>4</v>
      </c>
      <c r="F203">
        <v>78.66</v>
      </c>
      <c r="G203">
        <v>4</v>
      </c>
      <c r="H203">
        <v>23.68</v>
      </c>
      <c r="I203">
        <v>15.18</v>
      </c>
      <c r="J203">
        <v>12.18</v>
      </c>
      <c r="K203">
        <v>4</v>
      </c>
      <c r="L203">
        <v>12</v>
      </c>
      <c r="M203">
        <v>3.5</v>
      </c>
      <c r="N203">
        <v>0.5</v>
      </c>
      <c r="O203" s="19">
        <f t="shared" si="6"/>
        <v>1</v>
      </c>
    </row>
    <row r="204" spans="1:15" x14ac:dyDescent="0.25">
      <c r="A204" s="39"/>
      <c r="B204" s="41"/>
      <c r="C204" t="s">
        <v>694</v>
      </c>
      <c r="D204" t="s">
        <v>181</v>
      </c>
      <c r="E204" s="3">
        <f t="shared" si="7"/>
        <v>4</v>
      </c>
      <c r="F204">
        <v>78.66</v>
      </c>
      <c r="G204">
        <v>4</v>
      </c>
      <c r="H204">
        <v>23.68</v>
      </c>
      <c r="I204">
        <v>15.18</v>
      </c>
      <c r="J204">
        <v>12.18</v>
      </c>
      <c r="K204">
        <v>4</v>
      </c>
      <c r="L204">
        <v>12</v>
      </c>
      <c r="M204">
        <v>3.5</v>
      </c>
      <c r="N204">
        <v>0.5</v>
      </c>
      <c r="O204" s="19">
        <f t="shared" si="6"/>
        <v>1</v>
      </c>
    </row>
    <row r="205" spans="1:15" x14ac:dyDescent="0.25">
      <c r="A205" s="39"/>
      <c r="B205" s="41"/>
      <c r="C205" t="s">
        <v>695</v>
      </c>
      <c r="D205" t="s">
        <v>181</v>
      </c>
      <c r="E205" s="3">
        <f t="shared" si="7"/>
        <v>4</v>
      </c>
      <c r="F205">
        <v>78.66</v>
      </c>
      <c r="G205">
        <v>4</v>
      </c>
      <c r="H205">
        <v>23.68</v>
      </c>
      <c r="I205">
        <v>15.18</v>
      </c>
      <c r="J205">
        <v>12.18</v>
      </c>
      <c r="K205">
        <v>4</v>
      </c>
      <c r="L205">
        <v>12</v>
      </c>
      <c r="M205">
        <v>3.5</v>
      </c>
      <c r="N205">
        <v>0.5</v>
      </c>
      <c r="O205" s="19">
        <f t="shared" si="6"/>
        <v>1</v>
      </c>
    </row>
    <row r="206" spans="1:15" x14ac:dyDescent="0.25">
      <c r="A206" s="39"/>
      <c r="B206" s="41"/>
      <c r="C206" t="s">
        <v>696</v>
      </c>
      <c r="D206" t="s">
        <v>181</v>
      </c>
      <c r="E206" s="3">
        <f t="shared" si="7"/>
        <v>4</v>
      </c>
      <c r="F206">
        <v>78.66</v>
      </c>
      <c r="G206">
        <v>4</v>
      </c>
      <c r="H206">
        <v>23.68</v>
      </c>
      <c r="I206">
        <v>15.18</v>
      </c>
      <c r="J206">
        <v>12.18</v>
      </c>
      <c r="K206">
        <v>4</v>
      </c>
      <c r="L206">
        <v>12</v>
      </c>
      <c r="M206">
        <v>3.5</v>
      </c>
      <c r="N206">
        <v>0.5</v>
      </c>
      <c r="O206" s="19">
        <f t="shared" si="6"/>
        <v>1</v>
      </c>
    </row>
    <row r="207" spans="1:15" x14ac:dyDescent="0.25">
      <c r="A207" s="39"/>
      <c r="B207" s="41"/>
      <c r="C207" t="s">
        <v>697</v>
      </c>
      <c r="D207" t="s">
        <v>181</v>
      </c>
      <c r="E207" s="3">
        <f t="shared" si="7"/>
        <v>4</v>
      </c>
      <c r="F207">
        <v>78.66</v>
      </c>
      <c r="G207">
        <v>4</v>
      </c>
      <c r="H207">
        <v>23.68</v>
      </c>
      <c r="I207">
        <v>15.18</v>
      </c>
      <c r="J207">
        <v>12.18</v>
      </c>
      <c r="K207">
        <v>4</v>
      </c>
      <c r="L207">
        <v>12</v>
      </c>
      <c r="M207">
        <v>3.5</v>
      </c>
      <c r="N207">
        <v>0.5</v>
      </c>
      <c r="O207" s="19">
        <f t="shared" si="6"/>
        <v>1</v>
      </c>
    </row>
    <row r="208" spans="1:15" x14ac:dyDescent="0.25">
      <c r="A208" s="39"/>
      <c r="B208" s="41"/>
      <c r="C208" t="s">
        <v>698</v>
      </c>
      <c r="D208" t="s">
        <v>181</v>
      </c>
      <c r="E208" s="3">
        <f t="shared" si="7"/>
        <v>4</v>
      </c>
      <c r="F208">
        <v>78.66</v>
      </c>
      <c r="G208">
        <v>4</v>
      </c>
      <c r="H208">
        <v>23.68</v>
      </c>
      <c r="I208">
        <v>15.18</v>
      </c>
      <c r="J208">
        <v>12.18</v>
      </c>
      <c r="K208">
        <v>4</v>
      </c>
      <c r="L208">
        <v>12</v>
      </c>
      <c r="M208">
        <v>3.5</v>
      </c>
      <c r="N208">
        <v>0.5</v>
      </c>
      <c r="O208" s="19">
        <f t="shared" si="6"/>
        <v>1</v>
      </c>
    </row>
    <row r="209" spans="1:15" x14ac:dyDescent="0.25">
      <c r="A209" s="39"/>
      <c r="B209" s="41"/>
      <c r="C209" t="s">
        <v>699</v>
      </c>
      <c r="D209" t="s">
        <v>181</v>
      </c>
      <c r="E209" s="3">
        <f t="shared" si="7"/>
        <v>4</v>
      </c>
      <c r="F209">
        <v>78.66</v>
      </c>
      <c r="G209">
        <v>4</v>
      </c>
      <c r="H209">
        <v>23.68</v>
      </c>
      <c r="I209">
        <v>15.18</v>
      </c>
      <c r="J209">
        <v>12.18</v>
      </c>
      <c r="K209">
        <v>4</v>
      </c>
      <c r="L209">
        <v>12</v>
      </c>
      <c r="M209">
        <v>3.5</v>
      </c>
      <c r="N209">
        <v>0.5</v>
      </c>
      <c r="O209" s="19">
        <f t="shared" si="6"/>
        <v>1</v>
      </c>
    </row>
    <row r="210" spans="1:15" x14ac:dyDescent="0.25">
      <c r="A210" s="39"/>
      <c r="B210" s="41"/>
      <c r="C210" t="s">
        <v>700</v>
      </c>
      <c r="D210" t="s">
        <v>181</v>
      </c>
      <c r="E210" s="3">
        <f t="shared" si="7"/>
        <v>4</v>
      </c>
      <c r="F210">
        <v>78.66</v>
      </c>
      <c r="G210">
        <v>4</v>
      </c>
      <c r="H210">
        <v>23.68</v>
      </c>
      <c r="I210">
        <v>15.18</v>
      </c>
      <c r="J210">
        <v>12.18</v>
      </c>
      <c r="K210">
        <v>4</v>
      </c>
      <c r="L210">
        <v>12</v>
      </c>
      <c r="M210">
        <v>3.5</v>
      </c>
      <c r="N210">
        <v>0.5</v>
      </c>
      <c r="O210" s="19">
        <f t="shared" si="6"/>
        <v>1</v>
      </c>
    </row>
    <row r="211" spans="1:15" x14ac:dyDescent="0.25">
      <c r="A211" s="39"/>
      <c r="B211" s="41"/>
      <c r="C211" t="s">
        <v>701</v>
      </c>
      <c r="D211" t="s">
        <v>181</v>
      </c>
      <c r="E211" s="3">
        <f t="shared" si="7"/>
        <v>4</v>
      </c>
      <c r="F211">
        <v>78.66</v>
      </c>
      <c r="G211">
        <v>4</v>
      </c>
      <c r="H211">
        <v>23.68</v>
      </c>
      <c r="I211">
        <v>15.18</v>
      </c>
      <c r="J211">
        <v>12.18</v>
      </c>
      <c r="K211">
        <v>4</v>
      </c>
      <c r="L211">
        <v>12</v>
      </c>
      <c r="M211">
        <v>3.5</v>
      </c>
      <c r="N211">
        <v>0.5</v>
      </c>
      <c r="O211" s="19">
        <f t="shared" si="6"/>
        <v>1</v>
      </c>
    </row>
    <row r="212" spans="1:15" x14ac:dyDescent="0.25">
      <c r="A212" s="39"/>
      <c r="B212" s="41"/>
      <c r="C212" t="s">
        <v>702</v>
      </c>
      <c r="D212" t="s">
        <v>181</v>
      </c>
      <c r="E212" s="3">
        <f t="shared" si="7"/>
        <v>4</v>
      </c>
      <c r="F212">
        <v>78.66</v>
      </c>
      <c r="G212">
        <v>4</v>
      </c>
      <c r="H212">
        <v>23.68</v>
      </c>
      <c r="I212">
        <v>15.18</v>
      </c>
      <c r="J212">
        <v>12.18</v>
      </c>
      <c r="K212">
        <v>4</v>
      </c>
      <c r="L212">
        <v>12</v>
      </c>
      <c r="M212">
        <v>3.5</v>
      </c>
      <c r="N212">
        <v>0.5</v>
      </c>
      <c r="O212" s="19">
        <f t="shared" si="6"/>
        <v>1</v>
      </c>
    </row>
    <row r="213" spans="1:15" x14ac:dyDescent="0.25">
      <c r="A213" s="39"/>
      <c r="B213" s="41"/>
      <c r="C213" t="s">
        <v>703</v>
      </c>
      <c r="D213" t="s">
        <v>181</v>
      </c>
      <c r="E213" s="3">
        <f t="shared" si="7"/>
        <v>4</v>
      </c>
      <c r="F213">
        <v>78.66</v>
      </c>
      <c r="G213">
        <v>4</v>
      </c>
      <c r="H213">
        <v>23.68</v>
      </c>
      <c r="I213">
        <v>15.18</v>
      </c>
      <c r="J213">
        <v>12.18</v>
      </c>
      <c r="K213">
        <v>4</v>
      </c>
      <c r="L213">
        <v>12</v>
      </c>
      <c r="M213">
        <v>3.5</v>
      </c>
      <c r="N213">
        <v>0.5</v>
      </c>
      <c r="O213" s="19">
        <f t="shared" si="6"/>
        <v>1</v>
      </c>
    </row>
    <row r="214" spans="1:15" x14ac:dyDescent="0.25">
      <c r="A214" s="39"/>
      <c r="B214" s="41"/>
      <c r="C214" t="s">
        <v>704</v>
      </c>
      <c r="D214" t="s">
        <v>181</v>
      </c>
      <c r="E214" s="3">
        <f t="shared" si="7"/>
        <v>4</v>
      </c>
      <c r="F214">
        <v>78.66</v>
      </c>
      <c r="G214">
        <v>4</v>
      </c>
      <c r="H214">
        <v>23.68</v>
      </c>
      <c r="I214">
        <v>15.18</v>
      </c>
      <c r="J214">
        <v>12.18</v>
      </c>
      <c r="K214">
        <v>4</v>
      </c>
      <c r="L214">
        <v>12</v>
      </c>
      <c r="M214">
        <v>3.5</v>
      </c>
      <c r="N214">
        <v>0.5</v>
      </c>
      <c r="O214" s="19">
        <f t="shared" si="6"/>
        <v>1</v>
      </c>
    </row>
    <row r="215" spans="1:15" x14ac:dyDescent="0.25">
      <c r="A215" s="39"/>
      <c r="B215" s="41"/>
      <c r="C215" t="s">
        <v>705</v>
      </c>
      <c r="D215" t="s">
        <v>181</v>
      </c>
      <c r="E215" s="3">
        <f t="shared" si="7"/>
        <v>4</v>
      </c>
      <c r="F215">
        <v>78.66</v>
      </c>
      <c r="G215">
        <v>4</v>
      </c>
      <c r="H215">
        <v>23.68</v>
      </c>
      <c r="I215">
        <v>15.18</v>
      </c>
      <c r="J215">
        <v>12.18</v>
      </c>
      <c r="K215">
        <v>4</v>
      </c>
      <c r="L215">
        <v>12</v>
      </c>
      <c r="M215">
        <v>3.5</v>
      </c>
      <c r="N215">
        <v>0.5</v>
      </c>
      <c r="O215" s="19">
        <f t="shared" si="6"/>
        <v>1</v>
      </c>
    </row>
    <row r="216" spans="1:15" x14ac:dyDescent="0.25">
      <c r="A216" s="39"/>
      <c r="B216" s="41"/>
      <c r="C216" t="s">
        <v>706</v>
      </c>
      <c r="D216" t="s">
        <v>181</v>
      </c>
      <c r="E216" s="3">
        <f t="shared" si="7"/>
        <v>4</v>
      </c>
      <c r="F216">
        <v>78.66</v>
      </c>
      <c r="G216">
        <v>4</v>
      </c>
      <c r="H216">
        <v>23.68</v>
      </c>
      <c r="I216">
        <v>15.18</v>
      </c>
      <c r="J216">
        <v>12.18</v>
      </c>
      <c r="K216">
        <v>4</v>
      </c>
      <c r="L216">
        <v>12</v>
      </c>
      <c r="M216">
        <v>3.5</v>
      </c>
      <c r="N216">
        <v>0.5</v>
      </c>
      <c r="O216" s="19">
        <f t="shared" si="6"/>
        <v>1</v>
      </c>
    </row>
    <row r="217" spans="1:15" x14ac:dyDescent="0.25">
      <c r="A217" s="39"/>
      <c r="B217" s="41"/>
      <c r="C217" t="s">
        <v>707</v>
      </c>
      <c r="D217" t="s">
        <v>181</v>
      </c>
      <c r="E217" s="3">
        <f t="shared" si="7"/>
        <v>4</v>
      </c>
      <c r="F217">
        <v>78.66</v>
      </c>
      <c r="G217">
        <v>4</v>
      </c>
      <c r="H217">
        <v>23.68</v>
      </c>
      <c r="I217">
        <v>15.18</v>
      </c>
      <c r="J217">
        <v>12.18</v>
      </c>
      <c r="K217">
        <v>4</v>
      </c>
      <c r="L217">
        <v>12</v>
      </c>
      <c r="M217">
        <v>3.5</v>
      </c>
      <c r="N217">
        <v>0.5</v>
      </c>
      <c r="O217" s="19">
        <f t="shared" si="6"/>
        <v>1</v>
      </c>
    </row>
    <row r="218" spans="1:15" x14ac:dyDescent="0.25">
      <c r="A218" s="39"/>
      <c r="B218" s="41"/>
      <c r="C218" t="s">
        <v>708</v>
      </c>
      <c r="D218" t="s">
        <v>181</v>
      </c>
      <c r="E218" s="3">
        <f t="shared" si="7"/>
        <v>4</v>
      </c>
      <c r="F218">
        <v>78.66</v>
      </c>
      <c r="G218">
        <v>4</v>
      </c>
      <c r="H218">
        <v>23.68</v>
      </c>
      <c r="I218">
        <v>15.18</v>
      </c>
      <c r="J218">
        <v>12.18</v>
      </c>
      <c r="K218">
        <v>4</v>
      </c>
      <c r="L218">
        <v>12</v>
      </c>
      <c r="M218">
        <v>3.5</v>
      </c>
      <c r="N218">
        <v>0.5</v>
      </c>
      <c r="O218" s="19">
        <f t="shared" si="6"/>
        <v>1</v>
      </c>
    </row>
    <row r="219" spans="1:15" x14ac:dyDescent="0.25">
      <c r="A219" s="39"/>
      <c r="B219" s="41"/>
      <c r="C219" t="s">
        <v>709</v>
      </c>
      <c r="D219" t="s">
        <v>181</v>
      </c>
      <c r="E219" s="3">
        <f t="shared" si="7"/>
        <v>4</v>
      </c>
      <c r="F219">
        <v>78.66</v>
      </c>
      <c r="G219">
        <v>4</v>
      </c>
      <c r="H219">
        <v>23.68</v>
      </c>
      <c r="I219">
        <v>15.18</v>
      </c>
      <c r="J219">
        <v>12.18</v>
      </c>
      <c r="K219">
        <v>4</v>
      </c>
      <c r="L219">
        <v>12</v>
      </c>
      <c r="M219">
        <v>3.5</v>
      </c>
      <c r="N219">
        <v>0.5</v>
      </c>
      <c r="O219" s="19">
        <f t="shared" si="6"/>
        <v>1</v>
      </c>
    </row>
    <row r="220" spans="1:15" x14ac:dyDescent="0.25">
      <c r="A220" s="39"/>
      <c r="B220" s="41"/>
      <c r="C220" t="s">
        <v>710</v>
      </c>
      <c r="D220" t="s">
        <v>181</v>
      </c>
      <c r="E220" s="3">
        <f t="shared" si="7"/>
        <v>4</v>
      </c>
      <c r="F220">
        <v>78.66</v>
      </c>
      <c r="G220">
        <v>4</v>
      </c>
      <c r="H220">
        <v>23.68</v>
      </c>
      <c r="I220">
        <v>15.18</v>
      </c>
      <c r="J220">
        <v>12.18</v>
      </c>
      <c r="K220">
        <v>4</v>
      </c>
      <c r="L220">
        <v>12</v>
      </c>
      <c r="M220">
        <v>3.5</v>
      </c>
      <c r="N220">
        <v>0.5</v>
      </c>
      <c r="O220" s="19">
        <f t="shared" si="6"/>
        <v>1</v>
      </c>
    </row>
    <row r="221" spans="1:15" x14ac:dyDescent="0.25">
      <c r="A221" s="39"/>
      <c r="B221" s="42"/>
      <c r="C221" s="10" t="s">
        <v>711</v>
      </c>
      <c r="D221" s="10" t="s">
        <v>181</v>
      </c>
      <c r="E221" s="11">
        <f t="shared" si="7"/>
        <v>4</v>
      </c>
      <c r="F221" s="10">
        <v>78.66</v>
      </c>
      <c r="G221" s="10">
        <v>4</v>
      </c>
      <c r="H221" s="10">
        <v>23.68</v>
      </c>
      <c r="I221" s="10">
        <v>15.18</v>
      </c>
      <c r="J221" s="10">
        <v>12.18</v>
      </c>
      <c r="K221" s="10">
        <v>4</v>
      </c>
      <c r="L221" s="10">
        <v>12</v>
      </c>
      <c r="M221" s="10">
        <v>3.5</v>
      </c>
      <c r="N221" s="10">
        <v>0.5</v>
      </c>
      <c r="O221" s="20">
        <f t="shared" si="6"/>
        <v>1</v>
      </c>
    </row>
    <row r="222" spans="1:15" x14ac:dyDescent="0.25">
      <c r="A222" s="39"/>
      <c r="B222" s="40" t="s">
        <v>5</v>
      </c>
      <c r="C222" s="7" t="s">
        <v>712</v>
      </c>
      <c r="D222" s="7" t="s">
        <v>181</v>
      </c>
      <c r="E222" s="3">
        <f t="shared" si="7"/>
        <v>4</v>
      </c>
      <c r="F222" s="7">
        <v>104.87</v>
      </c>
      <c r="G222" s="7">
        <v>4</v>
      </c>
      <c r="H222" s="7">
        <v>31.57</v>
      </c>
      <c r="I222" s="7">
        <v>23.07</v>
      </c>
      <c r="J222" s="7">
        <v>20.07</v>
      </c>
      <c r="K222" s="7">
        <v>4</v>
      </c>
      <c r="L222" s="7">
        <v>16</v>
      </c>
      <c r="M222" s="7">
        <v>7.5</v>
      </c>
      <c r="N222" s="7">
        <v>4.5</v>
      </c>
      <c r="O222" s="18">
        <f t="shared" si="6"/>
        <v>1</v>
      </c>
    </row>
    <row r="223" spans="1:15" x14ac:dyDescent="0.25">
      <c r="A223" s="39"/>
      <c r="B223" s="41"/>
      <c r="C223" t="s">
        <v>713</v>
      </c>
      <c r="D223" t="s">
        <v>181</v>
      </c>
      <c r="E223" s="3">
        <f t="shared" si="7"/>
        <v>4</v>
      </c>
      <c r="F223">
        <v>104.87</v>
      </c>
      <c r="G223">
        <v>4</v>
      </c>
      <c r="H223">
        <v>31.57</v>
      </c>
      <c r="I223">
        <v>23.07</v>
      </c>
      <c r="J223">
        <v>20.07</v>
      </c>
      <c r="K223">
        <v>4</v>
      </c>
      <c r="L223">
        <v>16</v>
      </c>
      <c r="M223">
        <v>7.5</v>
      </c>
      <c r="N223">
        <v>4.5</v>
      </c>
      <c r="O223" s="19">
        <f t="shared" si="6"/>
        <v>1</v>
      </c>
    </row>
    <row r="224" spans="1:15" x14ac:dyDescent="0.25">
      <c r="A224" s="39"/>
      <c r="B224" s="41"/>
      <c r="C224" t="s">
        <v>714</v>
      </c>
      <c r="D224" t="s">
        <v>181</v>
      </c>
      <c r="E224" s="3">
        <f t="shared" si="7"/>
        <v>4</v>
      </c>
      <c r="F224">
        <v>104.87</v>
      </c>
      <c r="G224">
        <v>4</v>
      </c>
      <c r="H224">
        <v>31.57</v>
      </c>
      <c r="I224">
        <v>23.07</v>
      </c>
      <c r="J224">
        <v>20.07</v>
      </c>
      <c r="K224">
        <v>4</v>
      </c>
      <c r="L224">
        <v>16</v>
      </c>
      <c r="M224">
        <v>7.5</v>
      </c>
      <c r="N224">
        <v>4.5</v>
      </c>
      <c r="O224" s="19">
        <f t="shared" si="6"/>
        <v>1</v>
      </c>
    </row>
    <row r="225" spans="1:15" x14ac:dyDescent="0.25">
      <c r="A225" s="39"/>
      <c r="B225" s="41"/>
      <c r="C225" t="s">
        <v>715</v>
      </c>
      <c r="D225" t="s">
        <v>181</v>
      </c>
      <c r="E225" s="3">
        <f t="shared" si="7"/>
        <v>4</v>
      </c>
      <c r="F225">
        <v>104.87</v>
      </c>
      <c r="G225">
        <v>4</v>
      </c>
      <c r="H225">
        <v>31.57</v>
      </c>
      <c r="I225">
        <v>23.07</v>
      </c>
      <c r="J225">
        <v>20.07</v>
      </c>
      <c r="K225">
        <v>4</v>
      </c>
      <c r="L225">
        <v>16</v>
      </c>
      <c r="M225">
        <v>7.5</v>
      </c>
      <c r="N225">
        <v>4.5</v>
      </c>
      <c r="O225" s="19">
        <f t="shared" si="6"/>
        <v>1</v>
      </c>
    </row>
    <row r="226" spans="1:15" x14ac:dyDescent="0.25">
      <c r="A226" s="39"/>
      <c r="B226" s="41"/>
      <c r="C226" t="s">
        <v>716</v>
      </c>
      <c r="D226" t="s">
        <v>181</v>
      </c>
      <c r="E226" s="3">
        <f t="shared" si="7"/>
        <v>4</v>
      </c>
      <c r="F226">
        <v>104.87</v>
      </c>
      <c r="G226">
        <v>4</v>
      </c>
      <c r="H226">
        <v>31.57</v>
      </c>
      <c r="I226">
        <v>23.07</v>
      </c>
      <c r="J226">
        <v>20.07</v>
      </c>
      <c r="K226">
        <v>4</v>
      </c>
      <c r="L226">
        <v>16</v>
      </c>
      <c r="M226">
        <v>7.5</v>
      </c>
      <c r="N226">
        <v>4.5</v>
      </c>
      <c r="O226" s="19">
        <f t="shared" si="6"/>
        <v>1</v>
      </c>
    </row>
    <row r="227" spans="1:15" x14ac:dyDescent="0.25">
      <c r="A227" s="39"/>
      <c r="B227" s="41"/>
      <c r="C227" t="s">
        <v>717</v>
      </c>
      <c r="D227" t="s">
        <v>181</v>
      </c>
      <c r="E227" s="3">
        <f t="shared" si="7"/>
        <v>4</v>
      </c>
      <c r="F227">
        <v>104.87</v>
      </c>
      <c r="G227">
        <v>4</v>
      </c>
      <c r="H227">
        <v>31.57</v>
      </c>
      <c r="I227">
        <v>23.07</v>
      </c>
      <c r="J227">
        <v>20.07</v>
      </c>
      <c r="K227">
        <v>4</v>
      </c>
      <c r="L227">
        <v>16</v>
      </c>
      <c r="M227">
        <v>7.5</v>
      </c>
      <c r="N227">
        <v>4.5</v>
      </c>
      <c r="O227" s="19">
        <f t="shared" si="6"/>
        <v>1</v>
      </c>
    </row>
    <row r="228" spans="1:15" x14ac:dyDescent="0.25">
      <c r="A228" s="39"/>
      <c r="B228" s="41"/>
      <c r="C228" t="s">
        <v>718</v>
      </c>
      <c r="D228" t="s">
        <v>181</v>
      </c>
      <c r="E228" s="3">
        <f t="shared" si="7"/>
        <v>4</v>
      </c>
      <c r="F228">
        <v>104.87</v>
      </c>
      <c r="G228">
        <v>4</v>
      </c>
      <c r="H228">
        <v>31.57</v>
      </c>
      <c r="I228">
        <v>23.07</v>
      </c>
      <c r="J228">
        <v>20.07</v>
      </c>
      <c r="K228">
        <v>4</v>
      </c>
      <c r="L228">
        <v>16</v>
      </c>
      <c r="M228">
        <v>7.5</v>
      </c>
      <c r="N228">
        <v>4.5</v>
      </c>
      <c r="O228" s="19">
        <f t="shared" si="6"/>
        <v>1</v>
      </c>
    </row>
    <row r="229" spans="1:15" x14ac:dyDescent="0.25">
      <c r="A229" s="39"/>
      <c r="B229" s="41"/>
      <c r="C229" t="s">
        <v>719</v>
      </c>
      <c r="D229" t="s">
        <v>181</v>
      </c>
      <c r="E229" s="3">
        <f t="shared" si="7"/>
        <v>4</v>
      </c>
      <c r="F229">
        <v>104.87</v>
      </c>
      <c r="G229">
        <v>4</v>
      </c>
      <c r="H229">
        <v>31.57</v>
      </c>
      <c r="I229">
        <v>23.07</v>
      </c>
      <c r="J229">
        <v>20.07</v>
      </c>
      <c r="K229">
        <v>4</v>
      </c>
      <c r="L229">
        <v>16</v>
      </c>
      <c r="M229">
        <v>7.5</v>
      </c>
      <c r="N229">
        <v>4.5</v>
      </c>
      <c r="O229" s="19">
        <f t="shared" si="6"/>
        <v>1</v>
      </c>
    </row>
    <row r="230" spans="1:15" x14ac:dyDescent="0.25">
      <c r="A230" s="39"/>
      <c r="B230" s="41"/>
      <c r="C230" t="s">
        <v>720</v>
      </c>
      <c r="D230" t="s">
        <v>181</v>
      </c>
      <c r="E230" s="3">
        <f t="shared" si="7"/>
        <v>4</v>
      </c>
      <c r="F230">
        <v>104.87</v>
      </c>
      <c r="G230">
        <v>4</v>
      </c>
      <c r="H230">
        <v>31.57</v>
      </c>
      <c r="I230">
        <v>23.07</v>
      </c>
      <c r="J230">
        <v>20.07</v>
      </c>
      <c r="K230">
        <v>4</v>
      </c>
      <c r="L230">
        <v>16</v>
      </c>
      <c r="M230">
        <v>7.5</v>
      </c>
      <c r="N230">
        <v>4.5</v>
      </c>
      <c r="O230" s="19">
        <f t="shared" si="6"/>
        <v>1</v>
      </c>
    </row>
    <row r="231" spans="1:15" x14ac:dyDescent="0.25">
      <c r="A231" s="39"/>
      <c r="B231" s="41"/>
      <c r="C231" t="s">
        <v>721</v>
      </c>
      <c r="D231" t="s">
        <v>181</v>
      </c>
      <c r="E231" s="3">
        <f t="shared" si="7"/>
        <v>4</v>
      </c>
      <c r="F231">
        <v>104.87</v>
      </c>
      <c r="G231">
        <v>4</v>
      </c>
      <c r="H231">
        <v>31.57</v>
      </c>
      <c r="I231">
        <v>23.07</v>
      </c>
      <c r="J231">
        <v>20.07</v>
      </c>
      <c r="K231">
        <v>4</v>
      </c>
      <c r="L231">
        <v>16</v>
      </c>
      <c r="M231">
        <v>7.5</v>
      </c>
      <c r="N231">
        <v>4.5</v>
      </c>
      <c r="O231" s="19">
        <f t="shared" si="6"/>
        <v>1</v>
      </c>
    </row>
    <row r="232" spans="1:15" x14ac:dyDescent="0.25">
      <c r="A232" s="39"/>
      <c r="B232" s="41"/>
      <c r="C232" t="s">
        <v>722</v>
      </c>
      <c r="D232" t="s">
        <v>181</v>
      </c>
      <c r="E232" s="3">
        <f t="shared" si="7"/>
        <v>4</v>
      </c>
      <c r="F232">
        <v>104.87</v>
      </c>
      <c r="G232">
        <v>4</v>
      </c>
      <c r="H232">
        <v>31.57</v>
      </c>
      <c r="I232">
        <v>23.07</v>
      </c>
      <c r="J232">
        <v>20.07</v>
      </c>
      <c r="K232">
        <v>4</v>
      </c>
      <c r="L232">
        <v>16</v>
      </c>
      <c r="M232">
        <v>7.5</v>
      </c>
      <c r="N232">
        <v>4.5</v>
      </c>
      <c r="O232" s="19">
        <f t="shared" si="6"/>
        <v>1</v>
      </c>
    </row>
    <row r="233" spans="1:15" x14ac:dyDescent="0.25">
      <c r="A233" s="39"/>
      <c r="B233" s="41"/>
      <c r="C233" t="s">
        <v>723</v>
      </c>
      <c r="D233" t="s">
        <v>181</v>
      </c>
      <c r="E233" s="3">
        <f t="shared" si="7"/>
        <v>4</v>
      </c>
      <c r="F233">
        <v>104.87</v>
      </c>
      <c r="G233">
        <v>4</v>
      </c>
      <c r="H233">
        <v>31.57</v>
      </c>
      <c r="I233">
        <v>23.07</v>
      </c>
      <c r="J233">
        <v>20.07</v>
      </c>
      <c r="K233">
        <v>4</v>
      </c>
      <c r="L233">
        <v>16</v>
      </c>
      <c r="M233">
        <v>7.5</v>
      </c>
      <c r="N233">
        <v>4.5</v>
      </c>
      <c r="O233" s="19">
        <f t="shared" si="6"/>
        <v>1</v>
      </c>
    </row>
    <row r="234" spans="1:15" x14ac:dyDescent="0.25">
      <c r="A234" s="39"/>
      <c r="B234" s="41"/>
      <c r="C234" t="s">
        <v>724</v>
      </c>
      <c r="D234" t="s">
        <v>181</v>
      </c>
      <c r="E234" s="3">
        <f t="shared" si="7"/>
        <v>4</v>
      </c>
      <c r="F234">
        <v>104.87</v>
      </c>
      <c r="G234">
        <v>4</v>
      </c>
      <c r="H234">
        <v>31.57</v>
      </c>
      <c r="I234">
        <v>23.07</v>
      </c>
      <c r="J234">
        <v>20.07</v>
      </c>
      <c r="K234">
        <v>4</v>
      </c>
      <c r="L234">
        <v>16</v>
      </c>
      <c r="M234">
        <v>7.5</v>
      </c>
      <c r="N234">
        <v>4.5</v>
      </c>
      <c r="O234" s="19">
        <f t="shared" si="6"/>
        <v>1</v>
      </c>
    </row>
    <row r="235" spans="1:15" x14ac:dyDescent="0.25">
      <c r="A235" s="39"/>
      <c r="B235" s="41"/>
      <c r="C235" t="s">
        <v>725</v>
      </c>
      <c r="D235" t="s">
        <v>181</v>
      </c>
      <c r="E235" s="3">
        <f t="shared" si="7"/>
        <v>4</v>
      </c>
      <c r="F235">
        <v>104.87</v>
      </c>
      <c r="G235">
        <v>4</v>
      </c>
      <c r="H235">
        <v>31.57</v>
      </c>
      <c r="I235">
        <v>23.07</v>
      </c>
      <c r="J235">
        <v>20.07</v>
      </c>
      <c r="K235">
        <v>4</v>
      </c>
      <c r="L235">
        <v>16</v>
      </c>
      <c r="M235">
        <v>7.5</v>
      </c>
      <c r="N235">
        <v>4.5</v>
      </c>
      <c r="O235" s="19">
        <f t="shared" si="6"/>
        <v>1</v>
      </c>
    </row>
    <row r="236" spans="1:15" x14ac:dyDescent="0.25">
      <c r="A236" s="39"/>
      <c r="B236" s="41"/>
      <c r="C236" t="s">
        <v>726</v>
      </c>
      <c r="D236" t="s">
        <v>181</v>
      </c>
      <c r="E236" s="3">
        <f t="shared" si="7"/>
        <v>4</v>
      </c>
      <c r="F236">
        <v>104.87</v>
      </c>
      <c r="G236">
        <v>4</v>
      </c>
      <c r="H236">
        <v>31.57</v>
      </c>
      <c r="I236">
        <v>23.07</v>
      </c>
      <c r="J236">
        <v>20.07</v>
      </c>
      <c r="K236">
        <v>4</v>
      </c>
      <c r="L236">
        <v>16</v>
      </c>
      <c r="M236">
        <v>7.5</v>
      </c>
      <c r="N236">
        <v>4.5</v>
      </c>
      <c r="O236" s="19">
        <f t="shared" si="6"/>
        <v>1</v>
      </c>
    </row>
    <row r="237" spans="1:15" x14ac:dyDescent="0.25">
      <c r="A237" s="39"/>
      <c r="B237" s="41"/>
      <c r="C237" t="s">
        <v>727</v>
      </c>
      <c r="D237" t="s">
        <v>181</v>
      </c>
      <c r="E237" s="3">
        <f t="shared" si="7"/>
        <v>4</v>
      </c>
      <c r="F237">
        <v>104.87</v>
      </c>
      <c r="G237">
        <v>4</v>
      </c>
      <c r="H237">
        <v>31.57</v>
      </c>
      <c r="I237">
        <v>23.07</v>
      </c>
      <c r="J237">
        <v>20.07</v>
      </c>
      <c r="K237">
        <v>4</v>
      </c>
      <c r="L237">
        <v>16</v>
      </c>
      <c r="M237">
        <v>7.5</v>
      </c>
      <c r="N237">
        <v>4.5</v>
      </c>
      <c r="O237" s="19">
        <f t="shared" si="6"/>
        <v>1</v>
      </c>
    </row>
    <row r="238" spans="1:15" x14ac:dyDescent="0.25">
      <c r="A238" s="39"/>
      <c r="B238" s="41"/>
      <c r="C238" t="s">
        <v>728</v>
      </c>
      <c r="D238" t="s">
        <v>181</v>
      </c>
      <c r="E238" s="3">
        <f t="shared" si="7"/>
        <v>4</v>
      </c>
      <c r="F238">
        <v>104.87</v>
      </c>
      <c r="G238">
        <v>4</v>
      </c>
      <c r="H238">
        <v>31.57</v>
      </c>
      <c r="I238">
        <v>23.07</v>
      </c>
      <c r="J238">
        <v>20.07</v>
      </c>
      <c r="K238">
        <v>4</v>
      </c>
      <c r="L238">
        <v>15.58</v>
      </c>
      <c r="M238">
        <v>7.08</v>
      </c>
      <c r="N238">
        <v>4.08</v>
      </c>
      <c r="O238" s="19">
        <f t="shared" si="6"/>
        <v>1</v>
      </c>
    </row>
    <row r="239" spans="1:15" x14ac:dyDescent="0.25">
      <c r="A239" s="39"/>
      <c r="B239" s="41"/>
      <c r="C239" t="s">
        <v>729</v>
      </c>
      <c r="D239" t="s">
        <v>181</v>
      </c>
      <c r="E239" s="3">
        <f t="shared" si="7"/>
        <v>4</v>
      </c>
      <c r="F239">
        <v>104.87</v>
      </c>
      <c r="G239">
        <v>4</v>
      </c>
      <c r="H239">
        <v>31.57</v>
      </c>
      <c r="I239">
        <v>23.07</v>
      </c>
      <c r="J239">
        <v>20.07</v>
      </c>
      <c r="K239">
        <v>4</v>
      </c>
      <c r="L239">
        <v>16</v>
      </c>
      <c r="M239">
        <v>7.5</v>
      </c>
      <c r="N239">
        <v>4.5</v>
      </c>
      <c r="O239" s="19">
        <f t="shared" si="6"/>
        <v>1</v>
      </c>
    </row>
    <row r="240" spans="1:15" x14ac:dyDescent="0.25">
      <c r="A240" s="39"/>
      <c r="B240" s="41"/>
      <c r="C240" t="s">
        <v>730</v>
      </c>
      <c r="D240" t="s">
        <v>181</v>
      </c>
      <c r="E240" s="3">
        <f t="shared" si="7"/>
        <v>4</v>
      </c>
      <c r="F240">
        <v>104.87</v>
      </c>
      <c r="G240">
        <v>4</v>
      </c>
      <c r="H240">
        <v>31.57</v>
      </c>
      <c r="I240">
        <v>23.07</v>
      </c>
      <c r="J240">
        <v>20.07</v>
      </c>
      <c r="K240">
        <v>4</v>
      </c>
      <c r="L240">
        <v>16</v>
      </c>
      <c r="M240">
        <v>7.5</v>
      </c>
      <c r="N240">
        <v>4.5</v>
      </c>
      <c r="O240" s="19">
        <f t="shared" si="6"/>
        <v>1</v>
      </c>
    </row>
    <row r="241" spans="1:15" x14ac:dyDescent="0.25">
      <c r="A241" s="39"/>
      <c r="B241" s="42"/>
      <c r="C241" s="10" t="s">
        <v>731</v>
      </c>
      <c r="D241" s="10" t="s">
        <v>181</v>
      </c>
      <c r="E241" s="11">
        <f>IF(D241="Muito Fraca", 1, IF(D241="Fraca", 2, IF(D241="Média", 3, 4)))</f>
        <v>4</v>
      </c>
      <c r="F241" s="10">
        <v>104.87</v>
      </c>
      <c r="G241" s="10">
        <v>4</v>
      </c>
      <c r="H241" s="10">
        <v>31.57</v>
      </c>
      <c r="I241" s="10">
        <v>23.07</v>
      </c>
      <c r="J241" s="10">
        <v>20.07</v>
      </c>
      <c r="K241" s="10">
        <v>4</v>
      </c>
      <c r="L241" s="10">
        <v>16</v>
      </c>
      <c r="M241" s="10">
        <v>7.5</v>
      </c>
      <c r="N241" s="10">
        <v>4.5</v>
      </c>
      <c r="O241" s="20">
        <f t="shared" si="6"/>
        <v>1</v>
      </c>
    </row>
  </sheetData>
  <autoFilter ref="A1:O241" xr:uid="{FDC5A45C-8983-4684-85ED-3E6D97940099}"/>
  <mergeCells count="278">
    <mergeCell ref="S103:T103"/>
    <mergeCell ref="U103:V103"/>
    <mergeCell ref="W103:X103"/>
    <mergeCell ref="S104:T104"/>
    <mergeCell ref="U104:V104"/>
    <mergeCell ref="W104:X104"/>
    <mergeCell ref="S100:T100"/>
    <mergeCell ref="U100:V100"/>
    <mergeCell ref="W100:X100"/>
    <mergeCell ref="S101:T101"/>
    <mergeCell ref="U101:V101"/>
    <mergeCell ref="W101:X101"/>
    <mergeCell ref="S102:T102"/>
    <mergeCell ref="U102:V102"/>
    <mergeCell ref="W102:X102"/>
    <mergeCell ref="A122:A181"/>
    <mergeCell ref="B122:B141"/>
    <mergeCell ref="B142:B161"/>
    <mergeCell ref="B162:B181"/>
    <mergeCell ref="A182:A241"/>
    <mergeCell ref="B182:B201"/>
    <mergeCell ref="B202:B221"/>
    <mergeCell ref="B222:B241"/>
    <mergeCell ref="A2:A61"/>
    <mergeCell ref="B2:B21"/>
    <mergeCell ref="B22:B41"/>
    <mergeCell ref="B42:B61"/>
    <mergeCell ref="A62:A121"/>
    <mergeCell ref="B62:B81"/>
    <mergeCell ref="B82:B101"/>
    <mergeCell ref="B102:B121"/>
    <mergeCell ref="S14:T14"/>
    <mergeCell ref="U14:V14"/>
    <mergeCell ref="W14:X14"/>
    <mergeCell ref="S15:T15"/>
    <mergeCell ref="U15:V15"/>
    <mergeCell ref="W15:X15"/>
    <mergeCell ref="R11:X11"/>
    <mergeCell ref="S12:T12"/>
    <mergeCell ref="U12:V12"/>
    <mergeCell ref="W12:X12"/>
    <mergeCell ref="S13:T13"/>
    <mergeCell ref="U13:V13"/>
    <mergeCell ref="W13:X13"/>
    <mergeCell ref="S18:T18"/>
    <mergeCell ref="U18:V18"/>
    <mergeCell ref="W18:X18"/>
    <mergeCell ref="S19:T19"/>
    <mergeCell ref="U19:V19"/>
    <mergeCell ref="W19:X19"/>
    <mergeCell ref="S16:T16"/>
    <mergeCell ref="U16:V16"/>
    <mergeCell ref="W16:X16"/>
    <mergeCell ref="S17:T17"/>
    <mergeCell ref="U17:V17"/>
    <mergeCell ref="W17:X17"/>
    <mergeCell ref="R23:X23"/>
    <mergeCell ref="S24:T24"/>
    <mergeCell ref="U24:V24"/>
    <mergeCell ref="W24:X24"/>
    <mergeCell ref="S25:T25"/>
    <mergeCell ref="U25:V25"/>
    <mergeCell ref="W25:X25"/>
    <mergeCell ref="S20:T20"/>
    <mergeCell ref="U20:V20"/>
    <mergeCell ref="W20:X20"/>
    <mergeCell ref="S21:T21"/>
    <mergeCell ref="U21:V21"/>
    <mergeCell ref="W21:X21"/>
    <mergeCell ref="S28:T28"/>
    <mergeCell ref="U28:V28"/>
    <mergeCell ref="W28:X28"/>
    <mergeCell ref="S29:T29"/>
    <mergeCell ref="U29:V29"/>
    <mergeCell ref="W29:X29"/>
    <mergeCell ref="S26:T26"/>
    <mergeCell ref="U26:V26"/>
    <mergeCell ref="W26:X26"/>
    <mergeCell ref="S27:T27"/>
    <mergeCell ref="U27:V27"/>
    <mergeCell ref="W27:X27"/>
    <mergeCell ref="S32:T32"/>
    <mergeCell ref="U32:V32"/>
    <mergeCell ref="W32:X32"/>
    <mergeCell ref="S33:T33"/>
    <mergeCell ref="U33:V33"/>
    <mergeCell ref="W33:X33"/>
    <mergeCell ref="S30:T30"/>
    <mergeCell ref="U30:V30"/>
    <mergeCell ref="W30:X30"/>
    <mergeCell ref="S31:T31"/>
    <mergeCell ref="U31:V31"/>
    <mergeCell ref="W31:X31"/>
    <mergeCell ref="S38:T38"/>
    <mergeCell ref="U38:V38"/>
    <mergeCell ref="W38:X38"/>
    <mergeCell ref="S39:T39"/>
    <mergeCell ref="U39:V39"/>
    <mergeCell ref="W39:X39"/>
    <mergeCell ref="R35:X35"/>
    <mergeCell ref="S36:T36"/>
    <mergeCell ref="U36:V36"/>
    <mergeCell ref="W36:X36"/>
    <mergeCell ref="S37:T37"/>
    <mergeCell ref="U37:V37"/>
    <mergeCell ref="W37:X37"/>
    <mergeCell ref="S42:T42"/>
    <mergeCell ref="U42:V42"/>
    <mergeCell ref="W42:X42"/>
    <mergeCell ref="S43:T43"/>
    <mergeCell ref="U43:V43"/>
    <mergeCell ref="W43:X43"/>
    <mergeCell ref="S40:T40"/>
    <mergeCell ref="U40:V40"/>
    <mergeCell ref="W40:X40"/>
    <mergeCell ref="S41:T41"/>
    <mergeCell ref="U41:V41"/>
    <mergeCell ref="W41:X41"/>
    <mergeCell ref="R47:X47"/>
    <mergeCell ref="S48:T48"/>
    <mergeCell ref="U48:V48"/>
    <mergeCell ref="W48:X48"/>
    <mergeCell ref="S49:T49"/>
    <mergeCell ref="U49:V49"/>
    <mergeCell ref="W49:X49"/>
    <mergeCell ref="S44:T44"/>
    <mergeCell ref="U44:V44"/>
    <mergeCell ref="W44:X44"/>
    <mergeCell ref="S45:T45"/>
    <mergeCell ref="U45:V45"/>
    <mergeCell ref="W45:X45"/>
    <mergeCell ref="S52:T52"/>
    <mergeCell ref="U52:V52"/>
    <mergeCell ref="W52:X52"/>
    <mergeCell ref="S53:T53"/>
    <mergeCell ref="U53:V53"/>
    <mergeCell ref="W53:X53"/>
    <mergeCell ref="S50:T50"/>
    <mergeCell ref="U50:V50"/>
    <mergeCell ref="W50:X50"/>
    <mergeCell ref="S51:T51"/>
    <mergeCell ref="U51:V51"/>
    <mergeCell ref="W51:X51"/>
    <mergeCell ref="S56:T56"/>
    <mergeCell ref="U56:V56"/>
    <mergeCell ref="W56:X56"/>
    <mergeCell ref="S57:T57"/>
    <mergeCell ref="U57:V57"/>
    <mergeCell ref="W57:X57"/>
    <mergeCell ref="S54:T54"/>
    <mergeCell ref="U54:V54"/>
    <mergeCell ref="W54:X54"/>
    <mergeCell ref="S55:T55"/>
    <mergeCell ref="U55:V55"/>
    <mergeCell ref="W55:X55"/>
    <mergeCell ref="R59:X59"/>
    <mergeCell ref="S60:T60"/>
    <mergeCell ref="U60:V60"/>
    <mergeCell ref="W60:X60"/>
    <mergeCell ref="Q61:Q63"/>
    <mergeCell ref="S61:T61"/>
    <mergeCell ref="U61:V61"/>
    <mergeCell ref="W61:X61"/>
    <mergeCell ref="S62:T62"/>
    <mergeCell ref="U62:V62"/>
    <mergeCell ref="W62:X62"/>
    <mergeCell ref="S63:T63"/>
    <mergeCell ref="U63:V63"/>
    <mergeCell ref="W63:X63"/>
    <mergeCell ref="Q64:Q66"/>
    <mergeCell ref="S64:T64"/>
    <mergeCell ref="U64:V64"/>
    <mergeCell ref="W64:X64"/>
    <mergeCell ref="S65:T65"/>
    <mergeCell ref="U65:V65"/>
    <mergeCell ref="W65:X65"/>
    <mergeCell ref="S66:T66"/>
    <mergeCell ref="U66:V66"/>
    <mergeCell ref="W66:X66"/>
    <mergeCell ref="Q67:Q69"/>
    <mergeCell ref="S67:T67"/>
    <mergeCell ref="U67:V67"/>
    <mergeCell ref="W67:X67"/>
    <mergeCell ref="S68:T68"/>
    <mergeCell ref="U68:V68"/>
    <mergeCell ref="W68:X68"/>
    <mergeCell ref="S69:T69"/>
    <mergeCell ref="U69:V69"/>
    <mergeCell ref="W69:X69"/>
    <mergeCell ref="Q70:Q72"/>
    <mergeCell ref="S70:T70"/>
    <mergeCell ref="U70:V70"/>
    <mergeCell ref="W70:X70"/>
    <mergeCell ref="S71:T71"/>
    <mergeCell ref="U71:V71"/>
    <mergeCell ref="W71:X71"/>
    <mergeCell ref="S72:T72"/>
    <mergeCell ref="U72:V72"/>
    <mergeCell ref="W72:X72"/>
    <mergeCell ref="Q81:Q86"/>
    <mergeCell ref="S74:T74"/>
    <mergeCell ref="U74:V74"/>
    <mergeCell ref="W74:X74"/>
    <mergeCell ref="S75:T75"/>
    <mergeCell ref="U75:V75"/>
    <mergeCell ref="W75:X75"/>
    <mergeCell ref="S76:T76"/>
    <mergeCell ref="U76:V76"/>
    <mergeCell ref="W76:X76"/>
    <mergeCell ref="S77:T77"/>
    <mergeCell ref="U77:V77"/>
    <mergeCell ref="W77:X77"/>
    <mergeCell ref="Q75:Q80"/>
    <mergeCell ref="S80:T80"/>
    <mergeCell ref="U80:V80"/>
    <mergeCell ref="W80:X80"/>
    <mergeCell ref="S84:T84"/>
    <mergeCell ref="U84:V84"/>
    <mergeCell ref="W84:X84"/>
    <mergeCell ref="S78:T78"/>
    <mergeCell ref="U78:V78"/>
    <mergeCell ref="W78:X78"/>
    <mergeCell ref="S79:T79"/>
    <mergeCell ref="Q93:Q98"/>
    <mergeCell ref="S87:T87"/>
    <mergeCell ref="U87:V87"/>
    <mergeCell ref="W87:X87"/>
    <mergeCell ref="S88:T88"/>
    <mergeCell ref="U88:V88"/>
    <mergeCell ref="W88:X88"/>
    <mergeCell ref="S89:T89"/>
    <mergeCell ref="U89:V89"/>
    <mergeCell ref="W89:X89"/>
    <mergeCell ref="Q87:Q92"/>
    <mergeCell ref="S90:T90"/>
    <mergeCell ref="U90:V90"/>
    <mergeCell ref="W90:X90"/>
    <mergeCell ref="S91:T91"/>
    <mergeCell ref="U91:V91"/>
    <mergeCell ref="W91:X91"/>
    <mergeCell ref="S98:T98"/>
    <mergeCell ref="U98:V98"/>
    <mergeCell ref="W98:X98"/>
    <mergeCell ref="U79:V79"/>
    <mergeCell ref="W79:X79"/>
    <mergeCell ref="S81:T81"/>
    <mergeCell ref="U81:V81"/>
    <mergeCell ref="W81:X81"/>
    <mergeCell ref="S82:T82"/>
    <mergeCell ref="U82:V82"/>
    <mergeCell ref="W82:X82"/>
    <mergeCell ref="S83:T83"/>
    <mergeCell ref="U83:V83"/>
    <mergeCell ref="W83:X83"/>
    <mergeCell ref="S85:T85"/>
    <mergeCell ref="U85:V85"/>
    <mergeCell ref="W85:X85"/>
    <mergeCell ref="S86:T86"/>
    <mergeCell ref="U86:V86"/>
    <mergeCell ref="W86:X86"/>
    <mergeCell ref="S97:T97"/>
    <mergeCell ref="U97:V97"/>
    <mergeCell ref="W97:X97"/>
    <mergeCell ref="S92:T92"/>
    <mergeCell ref="U92:V92"/>
    <mergeCell ref="W92:X92"/>
    <mergeCell ref="S96:T96"/>
    <mergeCell ref="U96:V96"/>
    <mergeCell ref="W96:X96"/>
    <mergeCell ref="S93:T93"/>
    <mergeCell ref="U93:V93"/>
    <mergeCell ref="W93:X93"/>
    <mergeCell ref="S94:T94"/>
    <mergeCell ref="U94:V94"/>
    <mergeCell ref="W94:X94"/>
    <mergeCell ref="S95:T95"/>
    <mergeCell ref="U95:V95"/>
    <mergeCell ref="W95:X95"/>
  </mergeCells>
  <hyperlinks>
    <hyperlink ref="C139" r:id="rId1" xr:uid="{438FF52D-4301-44DA-8432-29C8D246C1E0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3838-7C34-4AEF-B560-285625BFA8E8}">
  <dimension ref="A1:X241"/>
  <sheetViews>
    <sheetView showGridLines="0" topLeftCell="A62" zoomScaleNormal="100" workbookViewId="0">
      <selection activeCell="Z104" sqref="Z104"/>
    </sheetView>
  </sheetViews>
  <sheetFormatPr defaultRowHeight="15" x14ac:dyDescent="0.25"/>
  <cols>
    <col min="2" max="2" width="4.140625" bestFit="1" customWidth="1"/>
    <col min="3" max="3" width="20.7109375" customWidth="1"/>
    <col min="4" max="4" width="11.28515625" bestFit="1" customWidth="1"/>
    <col min="5" max="5" width="11.42578125" bestFit="1" customWidth="1"/>
    <col min="6" max="6" width="17.140625" bestFit="1" customWidth="1"/>
    <col min="7" max="7" width="16.7109375" bestFit="1" customWidth="1"/>
    <col min="8" max="8" width="19.28515625" customWidth="1"/>
    <col min="9" max="9" width="16.5703125" customWidth="1"/>
    <col min="10" max="10" width="15.7109375" bestFit="1" customWidth="1"/>
    <col min="11" max="11" width="12.7109375" bestFit="1" customWidth="1"/>
    <col min="12" max="12" width="15.140625" bestFit="1" customWidth="1"/>
    <col min="13" max="13" width="13.140625" bestFit="1" customWidth="1"/>
    <col min="14" max="14" width="14.140625" bestFit="1" customWidth="1"/>
    <col min="15" max="15" width="5.5703125" bestFit="1" customWidth="1"/>
    <col min="18" max="18" width="15.85546875" bestFit="1" customWidth="1"/>
  </cols>
  <sheetData>
    <row r="1" spans="1:24" x14ac:dyDescent="0.25">
      <c r="C1" t="s">
        <v>8</v>
      </c>
      <c r="D1" t="s">
        <v>9</v>
      </c>
      <c r="E1" t="s">
        <v>1487</v>
      </c>
      <c r="F1" t="s">
        <v>1509</v>
      </c>
      <c r="G1" t="s">
        <v>1452</v>
      </c>
      <c r="H1" t="s">
        <v>1454</v>
      </c>
      <c r="I1" t="s">
        <v>1456</v>
      </c>
      <c r="J1" t="s">
        <v>1457</v>
      </c>
      <c r="K1" t="s">
        <v>1512</v>
      </c>
      <c r="L1" t="s">
        <v>1455</v>
      </c>
      <c r="M1" t="s">
        <v>1458</v>
      </c>
      <c r="N1" t="s">
        <v>1459</v>
      </c>
      <c r="O1" t="s">
        <v>1510</v>
      </c>
    </row>
    <row r="2" spans="1:24" x14ac:dyDescent="0.25">
      <c r="A2" s="39" t="s">
        <v>0</v>
      </c>
      <c r="B2" s="40" t="s">
        <v>4</v>
      </c>
      <c r="C2" s="7" t="s">
        <v>973</v>
      </c>
      <c r="D2" s="7" t="s">
        <v>271</v>
      </c>
      <c r="E2" s="8">
        <f t="shared" ref="E2:E65" si="0">IF(D2="Muito Fraca", 1, IF(D2="Fraca", 2, IF(D2="Boa", 3, 4)))</f>
        <v>2</v>
      </c>
      <c r="F2" s="7">
        <v>37.6</v>
      </c>
      <c r="G2" s="7">
        <v>4</v>
      </c>
      <c r="H2" s="7">
        <v>11.32</v>
      </c>
      <c r="I2" s="7">
        <v>2.82</v>
      </c>
      <c r="J2" s="7">
        <v>-0.18</v>
      </c>
      <c r="K2" s="7">
        <v>2</v>
      </c>
      <c r="L2" s="7">
        <v>7.45</v>
      </c>
      <c r="M2" s="7">
        <v>-1.05</v>
      </c>
      <c r="N2" s="7">
        <v>-4.05</v>
      </c>
      <c r="O2" s="18">
        <f>E2/K2</f>
        <v>1</v>
      </c>
    </row>
    <row r="3" spans="1:24" x14ac:dyDescent="0.25">
      <c r="A3" s="39"/>
      <c r="B3" s="41"/>
      <c r="C3" t="s">
        <v>974</v>
      </c>
      <c r="D3" t="s">
        <v>271</v>
      </c>
      <c r="E3" s="3">
        <f t="shared" si="0"/>
        <v>2</v>
      </c>
      <c r="F3">
        <v>37.6</v>
      </c>
      <c r="G3">
        <v>4</v>
      </c>
      <c r="H3">
        <v>11.32</v>
      </c>
      <c r="I3">
        <v>2.82</v>
      </c>
      <c r="J3">
        <v>-0.18</v>
      </c>
      <c r="K3">
        <v>2</v>
      </c>
      <c r="L3">
        <v>8</v>
      </c>
      <c r="M3">
        <v>-0.5</v>
      </c>
      <c r="N3">
        <v>-3.5</v>
      </c>
      <c r="O3" s="19">
        <f t="shared" ref="O3:O66" si="1">E3/K3</f>
        <v>1</v>
      </c>
    </row>
    <row r="4" spans="1:24" x14ac:dyDescent="0.25">
      <c r="A4" s="39"/>
      <c r="B4" s="41"/>
      <c r="C4" t="s">
        <v>975</v>
      </c>
      <c r="D4" t="s">
        <v>271</v>
      </c>
      <c r="E4" s="3">
        <f t="shared" si="0"/>
        <v>2</v>
      </c>
      <c r="F4">
        <v>37.6</v>
      </c>
      <c r="G4">
        <v>4</v>
      </c>
      <c r="H4">
        <v>11.32</v>
      </c>
      <c r="I4">
        <v>2.82</v>
      </c>
      <c r="J4">
        <v>-0.18</v>
      </c>
      <c r="K4">
        <v>2</v>
      </c>
      <c r="L4">
        <v>8</v>
      </c>
      <c r="M4">
        <v>-0.5</v>
      </c>
      <c r="N4">
        <v>-3.5</v>
      </c>
      <c r="O4" s="19">
        <f t="shared" si="1"/>
        <v>1</v>
      </c>
    </row>
    <row r="5" spans="1:24" x14ac:dyDescent="0.25">
      <c r="A5" s="39"/>
      <c r="B5" s="41"/>
      <c r="C5" t="s">
        <v>976</v>
      </c>
      <c r="D5" t="s">
        <v>271</v>
      </c>
      <c r="E5" s="3">
        <f t="shared" si="0"/>
        <v>2</v>
      </c>
      <c r="F5">
        <v>37.6</v>
      </c>
      <c r="G5">
        <v>4</v>
      </c>
      <c r="H5">
        <v>11.32</v>
      </c>
      <c r="I5">
        <v>2.82</v>
      </c>
      <c r="J5">
        <v>-0.18</v>
      </c>
      <c r="K5">
        <v>2</v>
      </c>
      <c r="L5">
        <v>8</v>
      </c>
      <c r="M5">
        <v>-0.5</v>
      </c>
      <c r="N5">
        <v>-3.5</v>
      </c>
      <c r="O5" s="19">
        <f t="shared" si="1"/>
        <v>1</v>
      </c>
    </row>
    <row r="6" spans="1:24" x14ac:dyDescent="0.25">
      <c r="A6" s="39"/>
      <c r="B6" s="41"/>
      <c r="C6" t="s">
        <v>977</v>
      </c>
      <c r="D6" t="s">
        <v>271</v>
      </c>
      <c r="E6" s="3">
        <f t="shared" si="0"/>
        <v>2</v>
      </c>
      <c r="F6">
        <v>37.6</v>
      </c>
      <c r="G6">
        <v>4</v>
      </c>
      <c r="H6">
        <v>11.32</v>
      </c>
      <c r="I6">
        <v>2.82</v>
      </c>
      <c r="J6">
        <v>-0.18</v>
      </c>
      <c r="K6">
        <v>2</v>
      </c>
      <c r="L6">
        <v>8</v>
      </c>
      <c r="M6">
        <v>-0.5</v>
      </c>
      <c r="N6">
        <v>-3.5</v>
      </c>
      <c r="O6" s="19">
        <f t="shared" si="1"/>
        <v>1</v>
      </c>
    </row>
    <row r="7" spans="1:24" x14ac:dyDescent="0.25">
      <c r="A7" s="39"/>
      <c r="B7" s="41"/>
      <c r="C7" t="s">
        <v>978</v>
      </c>
      <c r="D7" t="s">
        <v>271</v>
      </c>
      <c r="E7" s="3">
        <f t="shared" si="0"/>
        <v>2</v>
      </c>
      <c r="F7">
        <v>37.6</v>
      </c>
      <c r="G7">
        <v>4</v>
      </c>
      <c r="H7">
        <v>11.32</v>
      </c>
      <c r="I7">
        <v>2.82</v>
      </c>
      <c r="J7">
        <v>-0.18</v>
      </c>
      <c r="K7">
        <v>2</v>
      </c>
      <c r="L7">
        <v>8</v>
      </c>
      <c r="M7">
        <v>-0.5</v>
      </c>
      <c r="N7">
        <v>-3.5</v>
      </c>
      <c r="O7" s="19">
        <f t="shared" si="1"/>
        <v>1</v>
      </c>
    </row>
    <row r="8" spans="1:24" x14ac:dyDescent="0.25">
      <c r="A8" s="39"/>
      <c r="B8" s="41"/>
      <c r="C8" t="s">
        <v>979</v>
      </c>
      <c r="D8" t="s">
        <v>271</v>
      </c>
      <c r="E8" s="3">
        <f t="shared" si="0"/>
        <v>2</v>
      </c>
      <c r="F8">
        <v>37.6</v>
      </c>
      <c r="G8">
        <v>4</v>
      </c>
      <c r="H8">
        <v>11.32</v>
      </c>
      <c r="I8">
        <v>2.82</v>
      </c>
      <c r="J8">
        <v>-0.18</v>
      </c>
      <c r="K8">
        <v>2</v>
      </c>
      <c r="L8">
        <v>7.19</v>
      </c>
      <c r="M8">
        <v>-1.31</v>
      </c>
      <c r="N8">
        <v>-4.3099999999999996</v>
      </c>
      <c r="O8" s="19">
        <f t="shared" si="1"/>
        <v>1</v>
      </c>
    </row>
    <row r="9" spans="1:24" x14ac:dyDescent="0.25">
      <c r="A9" s="39"/>
      <c r="B9" s="41"/>
      <c r="C9" t="s">
        <v>980</v>
      </c>
      <c r="D9" t="s">
        <v>271</v>
      </c>
      <c r="E9" s="3">
        <f t="shared" si="0"/>
        <v>2</v>
      </c>
      <c r="F9">
        <v>37.6</v>
      </c>
      <c r="G9">
        <v>4</v>
      </c>
      <c r="H9">
        <v>11.32</v>
      </c>
      <c r="I9">
        <v>2.82</v>
      </c>
      <c r="J9">
        <v>-0.18</v>
      </c>
      <c r="K9">
        <v>2</v>
      </c>
      <c r="L9">
        <v>6.51</v>
      </c>
      <c r="M9">
        <v>-1.99</v>
      </c>
      <c r="N9">
        <v>-4.99</v>
      </c>
      <c r="O9" s="19">
        <f t="shared" si="1"/>
        <v>1</v>
      </c>
      <c r="R9" s="37" t="s">
        <v>0</v>
      </c>
      <c r="S9" s="38"/>
      <c r="T9" s="38"/>
      <c r="U9" s="38"/>
      <c r="V9" s="38"/>
      <c r="W9" s="38"/>
      <c r="X9" s="26"/>
    </row>
    <row r="10" spans="1:24" x14ac:dyDescent="0.25">
      <c r="A10" s="39"/>
      <c r="B10" s="41"/>
      <c r="C10" t="s">
        <v>981</v>
      </c>
      <c r="D10" t="s">
        <v>271</v>
      </c>
      <c r="E10" s="3">
        <f t="shared" si="0"/>
        <v>2</v>
      </c>
      <c r="F10">
        <v>37.6</v>
      </c>
      <c r="G10">
        <v>4</v>
      </c>
      <c r="H10">
        <v>11.32</v>
      </c>
      <c r="I10">
        <v>2.82</v>
      </c>
      <c r="J10">
        <v>-0.18</v>
      </c>
      <c r="K10">
        <v>2</v>
      </c>
      <c r="L10">
        <v>8</v>
      </c>
      <c r="M10">
        <v>-0.5</v>
      </c>
      <c r="N10">
        <v>-3.5</v>
      </c>
      <c r="O10" s="19">
        <f t="shared" si="1"/>
        <v>1</v>
      </c>
      <c r="R10" s="1"/>
      <c r="S10" s="30" t="s">
        <v>1460</v>
      </c>
      <c r="T10" s="30"/>
      <c r="U10" s="30" t="s">
        <v>1461</v>
      </c>
      <c r="V10" s="30"/>
      <c r="W10" s="30" t="s">
        <v>1462</v>
      </c>
      <c r="X10" s="30"/>
    </row>
    <row r="11" spans="1:24" x14ac:dyDescent="0.25">
      <c r="A11" s="39"/>
      <c r="B11" s="41"/>
      <c r="C11" t="s">
        <v>982</v>
      </c>
      <c r="D11" t="s">
        <v>271</v>
      </c>
      <c r="E11" s="3">
        <f t="shared" si="0"/>
        <v>2</v>
      </c>
      <c r="F11">
        <v>37.6</v>
      </c>
      <c r="G11">
        <v>4</v>
      </c>
      <c r="H11">
        <v>11.32</v>
      </c>
      <c r="I11">
        <v>2.82</v>
      </c>
      <c r="J11">
        <v>-0.18</v>
      </c>
      <c r="K11">
        <v>2</v>
      </c>
      <c r="L11">
        <v>7.39</v>
      </c>
      <c r="M11">
        <v>-1.1000000000000001</v>
      </c>
      <c r="N11">
        <v>-4.0999999999999996</v>
      </c>
      <c r="O11" s="19">
        <f t="shared" si="1"/>
        <v>1</v>
      </c>
      <c r="R11" s="1" t="s">
        <v>1488</v>
      </c>
      <c r="S11" s="35">
        <f>AVERAGE(E$2:E$21)</f>
        <v>2</v>
      </c>
      <c r="T11" s="36"/>
      <c r="U11" s="35">
        <f>AVERAGE(E$22:E$41)</f>
        <v>4</v>
      </c>
      <c r="V11" s="26"/>
      <c r="W11" s="35">
        <f>AVERAGE(E$42:E$61)</f>
        <v>4</v>
      </c>
      <c r="X11" s="26"/>
    </row>
    <row r="12" spans="1:24" x14ac:dyDescent="0.25">
      <c r="A12" s="39"/>
      <c r="B12" s="41"/>
      <c r="C12" t="s">
        <v>983</v>
      </c>
      <c r="D12" t="s">
        <v>271</v>
      </c>
      <c r="E12" s="3">
        <f t="shared" si="0"/>
        <v>2</v>
      </c>
      <c r="F12">
        <v>37.6</v>
      </c>
      <c r="G12">
        <v>4</v>
      </c>
      <c r="H12">
        <v>11.32</v>
      </c>
      <c r="I12">
        <v>2.82</v>
      </c>
      <c r="J12">
        <v>-0.18</v>
      </c>
      <c r="K12">
        <v>2</v>
      </c>
      <c r="L12">
        <v>8</v>
      </c>
      <c r="M12">
        <v>-0.5</v>
      </c>
      <c r="N12">
        <v>-3.5</v>
      </c>
      <c r="O12" s="19">
        <f t="shared" si="1"/>
        <v>1</v>
      </c>
      <c r="R12" s="1" t="s">
        <v>1463</v>
      </c>
      <c r="S12" s="35">
        <f>AVERAGE(G$2:G$21)</f>
        <v>4</v>
      </c>
      <c r="T12" s="26"/>
      <c r="U12" s="35">
        <f>AVERAGE(G$22:G$41)</f>
        <v>4</v>
      </c>
      <c r="V12" s="26"/>
      <c r="W12" s="35">
        <f>AVERAGE(G$42:G$61)</f>
        <v>4</v>
      </c>
      <c r="X12" s="26"/>
    </row>
    <row r="13" spans="1:24" x14ac:dyDescent="0.25">
      <c r="A13" s="39"/>
      <c r="B13" s="41"/>
      <c r="C13" t="s">
        <v>984</v>
      </c>
      <c r="D13" t="s">
        <v>271</v>
      </c>
      <c r="E13" s="3">
        <f t="shared" si="0"/>
        <v>2</v>
      </c>
      <c r="F13">
        <v>37.6</v>
      </c>
      <c r="G13">
        <v>4</v>
      </c>
      <c r="H13">
        <v>11.32</v>
      </c>
      <c r="I13">
        <v>2.82</v>
      </c>
      <c r="J13">
        <v>-0.18</v>
      </c>
      <c r="K13">
        <v>2</v>
      </c>
      <c r="L13">
        <v>8</v>
      </c>
      <c r="M13">
        <v>-0.5</v>
      </c>
      <c r="N13">
        <v>-3.5</v>
      </c>
      <c r="O13" s="19">
        <f t="shared" si="1"/>
        <v>1</v>
      </c>
      <c r="R13" s="1" t="s">
        <v>1464</v>
      </c>
      <c r="S13" s="24">
        <f>AVERAGE(H$2:H$21)</f>
        <v>11.319999999999997</v>
      </c>
      <c r="T13" s="26"/>
      <c r="U13" s="24">
        <f>AVERAGE(H$22:H$41)</f>
        <v>16.98</v>
      </c>
      <c r="V13" s="25"/>
      <c r="W13" s="24">
        <f>AVERAGE(H$42:H$61)</f>
        <v>22.639999999999993</v>
      </c>
      <c r="X13" s="25"/>
    </row>
    <row r="14" spans="1:24" x14ac:dyDescent="0.25">
      <c r="A14" s="39"/>
      <c r="B14" s="41"/>
      <c r="C14" t="s">
        <v>985</v>
      </c>
      <c r="D14" t="s">
        <v>271</v>
      </c>
      <c r="E14" s="3">
        <f t="shared" si="0"/>
        <v>2</v>
      </c>
      <c r="F14">
        <v>37.6</v>
      </c>
      <c r="G14">
        <v>4</v>
      </c>
      <c r="H14">
        <v>11.32</v>
      </c>
      <c r="I14">
        <v>2.82</v>
      </c>
      <c r="J14">
        <v>-0.18</v>
      </c>
      <c r="K14">
        <v>2</v>
      </c>
      <c r="L14">
        <v>8</v>
      </c>
      <c r="M14">
        <v>-0.5</v>
      </c>
      <c r="N14">
        <v>-3.5</v>
      </c>
      <c r="O14" s="19">
        <f t="shared" si="1"/>
        <v>1</v>
      </c>
      <c r="R14" s="1" t="s">
        <v>1465</v>
      </c>
      <c r="S14" s="24">
        <f>AVERAGE(I$2:I$21)</f>
        <v>2.82</v>
      </c>
      <c r="T14" s="26"/>
      <c r="U14" s="24">
        <f>AVERAGE(I$22:I$41)</f>
        <v>8.48</v>
      </c>
      <c r="V14" s="25"/>
      <c r="W14" s="24">
        <f>AVERAGE(I$42:I$61)</f>
        <v>14.139999999999995</v>
      </c>
      <c r="X14" s="25"/>
    </row>
    <row r="15" spans="1:24" x14ac:dyDescent="0.25">
      <c r="A15" s="39"/>
      <c r="B15" s="41"/>
      <c r="C15" t="s">
        <v>986</v>
      </c>
      <c r="D15" t="s">
        <v>271</v>
      </c>
      <c r="E15" s="3">
        <f t="shared" si="0"/>
        <v>2</v>
      </c>
      <c r="F15">
        <v>37.6</v>
      </c>
      <c r="G15">
        <v>4</v>
      </c>
      <c r="H15">
        <v>11.32</v>
      </c>
      <c r="I15">
        <v>2.82</v>
      </c>
      <c r="J15">
        <v>-0.18</v>
      </c>
      <c r="K15">
        <v>2</v>
      </c>
      <c r="L15">
        <v>8</v>
      </c>
      <c r="M15">
        <v>-0.5</v>
      </c>
      <c r="N15">
        <v>-3.5</v>
      </c>
      <c r="O15" s="19">
        <f t="shared" si="1"/>
        <v>1</v>
      </c>
      <c r="R15" s="1" t="s">
        <v>1466</v>
      </c>
      <c r="S15" s="24">
        <f>AVERAGE(J$2:J$21)</f>
        <v>-0.18000000000000005</v>
      </c>
      <c r="T15" s="26"/>
      <c r="U15" s="24">
        <f>AVERAGE(J$22:J$41)</f>
        <v>5.4800000000000022</v>
      </c>
      <c r="V15" s="25"/>
      <c r="W15" s="24">
        <f>AVERAGE(J$42:J$61)</f>
        <v>11.139999999999995</v>
      </c>
      <c r="X15" s="25"/>
    </row>
    <row r="16" spans="1:24" x14ac:dyDescent="0.25">
      <c r="A16" s="39"/>
      <c r="B16" s="41"/>
      <c r="C16" t="s">
        <v>987</v>
      </c>
      <c r="D16" t="s">
        <v>271</v>
      </c>
      <c r="E16" s="3">
        <f t="shared" si="0"/>
        <v>2</v>
      </c>
      <c r="F16">
        <v>37.6</v>
      </c>
      <c r="G16">
        <v>4</v>
      </c>
      <c r="H16">
        <v>11.32</v>
      </c>
      <c r="I16">
        <v>2.82</v>
      </c>
      <c r="J16">
        <v>-0.18</v>
      </c>
      <c r="K16">
        <v>2</v>
      </c>
      <c r="L16">
        <v>8</v>
      </c>
      <c r="M16">
        <v>-0.5</v>
      </c>
      <c r="N16">
        <v>-3.5</v>
      </c>
      <c r="O16" s="19">
        <f t="shared" si="1"/>
        <v>1</v>
      </c>
      <c r="R16" s="1" t="s">
        <v>1512</v>
      </c>
      <c r="S16" s="35">
        <f>AVERAGE(K$2:K$21)</f>
        <v>2</v>
      </c>
      <c r="T16" s="26"/>
      <c r="U16" s="35">
        <f>AVERAGE(K$22:K$41)</f>
        <v>4</v>
      </c>
      <c r="V16" s="26"/>
      <c r="W16" s="35">
        <f>AVERAGE(K$42:K$61)</f>
        <v>4</v>
      </c>
      <c r="X16" s="26"/>
    </row>
    <row r="17" spans="1:24" x14ac:dyDescent="0.25">
      <c r="A17" s="39"/>
      <c r="B17" s="41"/>
      <c r="C17" t="s">
        <v>988</v>
      </c>
      <c r="D17" t="s">
        <v>271</v>
      </c>
      <c r="E17" s="3">
        <f t="shared" si="0"/>
        <v>2</v>
      </c>
      <c r="F17">
        <v>37.6</v>
      </c>
      <c r="G17">
        <v>4</v>
      </c>
      <c r="H17">
        <v>11.32</v>
      </c>
      <c r="I17">
        <v>2.82</v>
      </c>
      <c r="J17">
        <v>-0.18</v>
      </c>
      <c r="K17">
        <v>2</v>
      </c>
      <c r="L17">
        <v>8</v>
      </c>
      <c r="M17">
        <v>-0.5</v>
      </c>
      <c r="N17">
        <v>-3.5</v>
      </c>
      <c r="O17" s="19">
        <f t="shared" si="1"/>
        <v>1</v>
      </c>
      <c r="R17" s="1" t="s">
        <v>1493</v>
      </c>
      <c r="S17" s="24">
        <f>AVERAGE(L$2:L$21)</f>
        <v>7.8150000000000004</v>
      </c>
      <c r="T17" s="25"/>
      <c r="U17" s="24">
        <f>AVERAGE(L$22:L$41)</f>
        <v>11.5685</v>
      </c>
      <c r="V17" s="25"/>
      <c r="W17" s="24">
        <f>AVERAGE(L$42:L$61)</f>
        <v>15.655499999999998</v>
      </c>
      <c r="X17" s="25"/>
    </row>
    <row r="18" spans="1:24" x14ac:dyDescent="0.25">
      <c r="A18" s="39"/>
      <c r="B18" s="41"/>
      <c r="C18" t="s">
        <v>989</v>
      </c>
      <c r="D18" t="s">
        <v>271</v>
      </c>
      <c r="E18" s="3">
        <f t="shared" si="0"/>
        <v>2</v>
      </c>
      <c r="F18">
        <v>37.6</v>
      </c>
      <c r="G18">
        <v>4</v>
      </c>
      <c r="H18">
        <v>11.32</v>
      </c>
      <c r="I18">
        <v>2.82</v>
      </c>
      <c r="J18">
        <v>-0.18</v>
      </c>
      <c r="K18">
        <v>2</v>
      </c>
      <c r="L18">
        <v>8</v>
      </c>
      <c r="M18">
        <v>-0.5</v>
      </c>
      <c r="N18">
        <v>-3.5</v>
      </c>
      <c r="O18" s="19">
        <f t="shared" si="1"/>
        <v>1</v>
      </c>
      <c r="R18" s="1" t="s">
        <v>1467</v>
      </c>
      <c r="S18" s="24">
        <f>AVERAGE(M$2:M$21)</f>
        <v>-0.6845</v>
      </c>
      <c r="T18" s="25"/>
      <c r="U18" s="24">
        <f>AVERAGE(M$22:M$41)</f>
        <v>3.0695000000000006</v>
      </c>
      <c r="V18" s="25"/>
      <c r="W18" s="24">
        <f>AVERAGE(M$42:M$61)</f>
        <v>7.1555000000000009</v>
      </c>
      <c r="X18" s="25"/>
    </row>
    <row r="19" spans="1:24" x14ac:dyDescent="0.25">
      <c r="A19" s="39"/>
      <c r="B19" s="41"/>
      <c r="C19" t="s">
        <v>990</v>
      </c>
      <c r="D19" t="s">
        <v>271</v>
      </c>
      <c r="E19" s="3">
        <f t="shared" si="0"/>
        <v>2</v>
      </c>
      <c r="F19">
        <v>37.6</v>
      </c>
      <c r="G19">
        <v>4</v>
      </c>
      <c r="H19">
        <v>11.32</v>
      </c>
      <c r="I19">
        <v>2.82</v>
      </c>
      <c r="J19">
        <v>-0.18</v>
      </c>
      <c r="K19">
        <v>2</v>
      </c>
      <c r="L19">
        <v>8</v>
      </c>
      <c r="M19">
        <v>-0.5</v>
      </c>
      <c r="N19">
        <v>-3.5</v>
      </c>
      <c r="O19" s="19">
        <f t="shared" si="1"/>
        <v>1</v>
      </c>
      <c r="R19" s="1" t="s">
        <v>1468</v>
      </c>
      <c r="S19" s="24">
        <f>AVERAGE(N$2:N$21)</f>
        <v>-3.6844999999999999</v>
      </c>
      <c r="T19" s="25"/>
      <c r="U19" s="24">
        <f>AVERAGE(N$22:N$41)</f>
        <v>6.9500000000000006E-2</v>
      </c>
      <c r="V19" s="25"/>
      <c r="W19" s="24">
        <f>AVERAGE(N$42:N$61)</f>
        <v>4.1555</v>
      </c>
      <c r="X19" s="25"/>
    </row>
    <row r="20" spans="1:24" x14ac:dyDescent="0.25">
      <c r="A20" s="39"/>
      <c r="B20" s="41"/>
      <c r="C20" t="s">
        <v>991</v>
      </c>
      <c r="D20" t="s">
        <v>271</v>
      </c>
      <c r="E20" s="3">
        <f t="shared" si="0"/>
        <v>2</v>
      </c>
      <c r="F20">
        <v>37.6</v>
      </c>
      <c r="G20">
        <v>4</v>
      </c>
      <c r="H20">
        <v>11.32</v>
      </c>
      <c r="I20">
        <v>2.82</v>
      </c>
      <c r="J20">
        <v>-0.18</v>
      </c>
      <c r="K20">
        <v>2</v>
      </c>
      <c r="L20">
        <v>8</v>
      </c>
      <c r="M20">
        <v>-0.5</v>
      </c>
      <c r="N20">
        <v>-3.5</v>
      </c>
      <c r="O20" s="19">
        <f t="shared" si="1"/>
        <v>1</v>
      </c>
    </row>
    <row r="21" spans="1:24" x14ac:dyDescent="0.25">
      <c r="A21" s="39"/>
      <c r="B21" s="42"/>
      <c r="C21" s="10" t="s">
        <v>992</v>
      </c>
      <c r="D21" s="10" t="s">
        <v>271</v>
      </c>
      <c r="E21" s="11">
        <f t="shared" si="0"/>
        <v>2</v>
      </c>
      <c r="F21" s="10">
        <v>37.6</v>
      </c>
      <c r="G21" s="10">
        <v>4</v>
      </c>
      <c r="H21" s="10">
        <v>11.32</v>
      </c>
      <c r="I21" s="10">
        <v>2.82</v>
      </c>
      <c r="J21" s="10">
        <v>-0.18</v>
      </c>
      <c r="K21" s="10">
        <v>2</v>
      </c>
      <c r="L21" s="10">
        <v>7.76</v>
      </c>
      <c r="M21" s="10">
        <v>-0.74</v>
      </c>
      <c r="N21" s="10">
        <v>-3.74</v>
      </c>
      <c r="O21" s="20">
        <f t="shared" si="1"/>
        <v>1</v>
      </c>
      <c r="R21" s="37" t="s">
        <v>1</v>
      </c>
      <c r="S21" s="38"/>
      <c r="T21" s="38"/>
      <c r="U21" s="38"/>
      <c r="V21" s="38"/>
      <c r="W21" s="38"/>
      <c r="X21" s="26"/>
    </row>
    <row r="22" spans="1:24" x14ac:dyDescent="0.25">
      <c r="A22" s="39"/>
      <c r="B22" s="40" t="s">
        <v>6</v>
      </c>
      <c r="C22" s="7" t="s">
        <v>993</v>
      </c>
      <c r="D22" s="7" t="s">
        <v>181</v>
      </c>
      <c r="E22" s="8">
        <f t="shared" si="0"/>
        <v>4</v>
      </c>
      <c r="F22" s="7">
        <v>56.41</v>
      </c>
      <c r="G22" s="7">
        <v>4</v>
      </c>
      <c r="H22" s="7">
        <v>16.98</v>
      </c>
      <c r="I22" s="7">
        <v>8.48</v>
      </c>
      <c r="J22" s="7">
        <v>5.48</v>
      </c>
      <c r="K22" s="7">
        <v>4</v>
      </c>
      <c r="L22" s="7">
        <v>11.89</v>
      </c>
      <c r="M22" s="7">
        <v>3.39</v>
      </c>
      <c r="N22" s="7">
        <v>0.39</v>
      </c>
      <c r="O22" s="18">
        <f t="shared" si="1"/>
        <v>1</v>
      </c>
      <c r="R22" s="1"/>
      <c r="S22" s="37" t="s">
        <v>1460</v>
      </c>
      <c r="T22" s="26"/>
      <c r="U22" s="37" t="s">
        <v>1461</v>
      </c>
      <c r="V22" s="26"/>
      <c r="W22" s="37" t="s">
        <v>1462</v>
      </c>
      <c r="X22" s="26"/>
    </row>
    <row r="23" spans="1:24" x14ac:dyDescent="0.25">
      <c r="A23" s="39"/>
      <c r="B23" s="41"/>
      <c r="C23" t="s">
        <v>994</v>
      </c>
      <c r="D23" t="s">
        <v>181</v>
      </c>
      <c r="E23" s="3">
        <f t="shared" si="0"/>
        <v>4</v>
      </c>
      <c r="F23">
        <v>56.41</v>
      </c>
      <c r="G23">
        <v>4</v>
      </c>
      <c r="H23">
        <v>16.98</v>
      </c>
      <c r="I23">
        <v>8.48</v>
      </c>
      <c r="J23">
        <v>5.48</v>
      </c>
      <c r="K23">
        <v>4</v>
      </c>
      <c r="L23">
        <v>10.38</v>
      </c>
      <c r="M23">
        <v>1.88</v>
      </c>
      <c r="N23">
        <v>-1.1200000000000001</v>
      </c>
      <c r="O23" s="19">
        <f t="shared" si="1"/>
        <v>1</v>
      </c>
      <c r="R23" s="1" t="s">
        <v>1488</v>
      </c>
      <c r="S23" s="35">
        <f>AVERAGE(E$62:E$81)</f>
        <v>2</v>
      </c>
      <c r="T23" s="36"/>
      <c r="U23" s="35">
        <f>AVERAGE(E$82:E$101)</f>
        <v>4</v>
      </c>
      <c r="V23" s="26"/>
      <c r="W23" s="35">
        <f>AVERAGE(E$102:E$121)</f>
        <v>4</v>
      </c>
      <c r="X23" s="26"/>
    </row>
    <row r="24" spans="1:24" x14ac:dyDescent="0.25">
      <c r="A24" s="39"/>
      <c r="B24" s="41"/>
      <c r="C24" t="s">
        <v>995</v>
      </c>
      <c r="D24" t="s">
        <v>181</v>
      </c>
      <c r="E24" s="3">
        <f t="shared" si="0"/>
        <v>4</v>
      </c>
      <c r="F24">
        <v>56.41</v>
      </c>
      <c r="G24">
        <v>4</v>
      </c>
      <c r="H24">
        <v>16.98</v>
      </c>
      <c r="I24">
        <v>8.48</v>
      </c>
      <c r="J24">
        <v>5.48</v>
      </c>
      <c r="K24">
        <v>4</v>
      </c>
      <c r="L24">
        <v>12</v>
      </c>
      <c r="M24">
        <v>3.5</v>
      </c>
      <c r="N24">
        <v>0.5</v>
      </c>
      <c r="O24" s="19">
        <f t="shared" si="1"/>
        <v>1</v>
      </c>
      <c r="R24" s="1" t="s">
        <v>1463</v>
      </c>
      <c r="S24" s="35">
        <f>AVERAGE(G$62:G$81)</f>
        <v>4</v>
      </c>
      <c r="T24" s="36"/>
      <c r="U24" s="35">
        <f>AVERAGE(G$82:G$101)</f>
        <v>4</v>
      </c>
      <c r="V24" s="36"/>
      <c r="W24" s="35">
        <f>AVERAGE(G$102:G$121)</f>
        <v>4</v>
      </c>
      <c r="X24" s="36"/>
    </row>
    <row r="25" spans="1:24" x14ac:dyDescent="0.25">
      <c r="A25" s="39"/>
      <c r="B25" s="41"/>
      <c r="C25" t="s">
        <v>996</v>
      </c>
      <c r="D25" t="s">
        <v>181</v>
      </c>
      <c r="E25" s="3">
        <f t="shared" si="0"/>
        <v>4</v>
      </c>
      <c r="F25">
        <v>56.41</v>
      </c>
      <c r="G25">
        <v>4</v>
      </c>
      <c r="H25">
        <v>16.98</v>
      </c>
      <c r="I25">
        <v>8.48</v>
      </c>
      <c r="J25">
        <v>5.48</v>
      </c>
      <c r="K25">
        <v>4</v>
      </c>
      <c r="L25">
        <v>12</v>
      </c>
      <c r="M25">
        <v>3.5</v>
      </c>
      <c r="N25">
        <v>0.5</v>
      </c>
      <c r="O25" s="19">
        <f t="shared" si="1"/>
        <v>1</v>
      </c>
      <c r="R25" s="1" t="s">
        <v>1464</v>
      </c>
      <c r="S25" s="24">
        <f>AVERAGE(H$62:H$81)</f>
        <v>13.729999999999999</v>
      </c>
      <c r="T25" s="25"/>
      <c r="U25" s="24">
        <f>AVERAGE(H$82:H$101)</f>
        <v>20.589999999999993</v>
      </c>
      <c r="V25" s="25"/>
      <c r="W25" s="35">
        <f>AVERAGE(H$102:H$121)</f>
        <v>27.459999999999997</v>
      </c>
      <c r="X25" s="36"/>
    </row>
    <row r="26" spans="1:24" x14ac:dyDescent="0.25">
      <c r="A26" s="39"/>
      <c r="B26" s="41"/>
      <c r="C26" t="s">
        <v>997</v>
      </c>
      <c r="D26" t="s">
        <v>181</v>
      </c>
      <c r="E26" s="3">
        <f t="shared" si="0"/>
        <v>4</v>
      </c>
      <c r="F26">
        <v>56.41</v>
      </c>
      <c r="G26">
        <v>4</v>
      </c>
      <c r="H26">
        <v>16.98</v>
      </c>
      <c r="I26">
        <v>8.48</v>
      </c>
      <c r="J26">
        <v>5.48</v>
      </c>
      <c r="K26">
        <v>4</v>
      </c>
      <c r="L26">
        <v>11.95</v>
      </c>
      <c r="M26">
        <v>3.45</v>
      </c>
      <c r="N26">
        <v>0.45</v>
      </c>
      <c r="O26" s="19">
        <f t="shared" si="1"/>
        <v>1</v>
      </c>
      <c r="R26" s="1" t="s">
        <v>1465</v>
      </c>
      <c r="S26" s="24">
        <f>AVERAGE(I$62:I$81)</f>
        <v>5.2300000000000022</v>
      </c>
      <c r="T26" s="25"/>
      <c r="U26" s="24">
        <f>AVERAGE(I$82:I$101)</f>
        <v>12.090000000000002</v>
      </c>
      <c r="V26" s="25"/>
      <c r="W26" s="35">
        <f>AVERAGE(I$102:I$121)</f>
        <v>18.959999999999997</v>
      </c>
      <c r="X26" s="36"/>
    </row>
    <row r="27" spans="1:24" x14ac:dyDescent="0.25">
      <c r="A27" s="39"/>
      <c r="B27" s="41"/>
      <c r="C27" t="s">
        <v>998</v>
      </c>
      <c r="D27" t="s">
        <v>181</v>
      </c>
      <c r="E27" s="3">
        <f t="shared" si="0"/>
        <v>4</v>
      </c>
      <c r="F27">
        <v>56.41</v>
      </c>
      <c r="G27">
        <v>4</v>
      </c>
      <c r="H27">
        <v>16.98</v>
      </c>
      <c r="I27">
        <v>8.48</v>
      </c>
      <c r="J27">
        <v>5.48</v>
      </c>
      <c r="K27">
        <v>4</v>
      </c>
      <c r="L27">
        <v>11.78</v>
      </c>
      <c r="M27">
        <v>3.28</v>
      </c>
      <c r="N27">
        <v>0.28000000000000003</v>
      </c>
      <c r="O27" s="19">
        <f t="shared" si="1"/>
        <v>1</v>
      </c>
      <c r="R27" s="1" t="s">
        <v>1466</v>
      </c>
      <c r="S27" s="24">
        <f>AVERAGE(J$62:J$81)</f>
        <v>2.2299999999999995</v>
      </c>
      <c r="T27" s="25"/>
      <c r="U27" s="24">
        <f>AVERAGE(J$82:J$101)</f>
        <v>9.0900000000000016</v>
      </c>
      <c r="V27" s="25"/>
      <c r="W27" s="35">
        <f>AVERAGE(J$102:J$121)</f>
        <v>15.960000000000003</v>
      </c>
      <c r="X27" s="36"/>
    </row>
    <row r="28" spans="1:24" x14ac:dyDescent="0.25">
      <c r="A28" s="39"/>
      <c r="B28" s="41"/>
      <c r="C28" t="s">
        <v>999</v>
      </c>
      <c r="D28" t="s">
        <v>181</v>
      </c>
      <c r="E28" s="3">
        <f t="shared" si="0"/>
        <v>4</v>
      </c>
      <c r="F28">
        <v>56.41</v>
      </c>
      <c r="G28">
        <v>4</v>
      </c>
      <c r="H28">
        <v>16.98</v>
      </c>
      <c r="I28">
        <v>8.48</v>
      </c>
      <c r="J28">
        <v>5.48</v>
      </c>
      <c r="K28">
        <v>4</v>
      </c>
      <c r="L28">
        <v>11.25</v>
      </c>
      <c r="M28">
        <v>2.76</v>
      </c>
      <c r="N28">
        <v>-0.24</v>
      </c>
      <c r="O28" s="19">
        <f t="shared" si="1"/>
        <v>1</v>
      </c>
      <c r="R28" s="1" t="s">
        <v>1512</v>
      </c>
      <c r="S28" s="35">
        <f>AVERAGE(K$62:K$81)</f>
        <v>2</v>
      </c>
      <c r="T28" s="36"/>
      <c r="U28" s="35">
        <f>AVERAGE(K$82:K$101)</f>
        <v>4</v>
      </c>
      <c r="V28" s="36"/>
      <c r="W28" s="35">
        <f>AVERAGE(K$102:K$121)</f>
        <v>4</v>
      </c>
      <c r="X28" s="36"/>
    </row>
    <row r="29" spans="1:24" x14ac:dyDescent="0.25">
      <c r="A29" s="39"/>
      <c r="B29" s="41"/>
      <c r="C29" t="s">
        <v>1000</v>
      </c>
      <c r="D29" t="s">
        <v>181</v>
      </c>
      <c r="E29" s="3">
        <f t="shared" si="0"/>
        <v>4</v>
      </c>
      <c r="F29">
        <v>56.41</v>
      </c>
      <c r="G29">
        <v>4</v>
      </c>
      <c r="H29">
        <v>16.98</v>
      </c>
      <c r="I29">
        <v>8.48</v>
      </c>
      <c r="J29">
        <v>5.48</v>
      </c>
      <c r="K29">
        <v>4</v>
      </c>
      <c r="L29">
        <v>12</v>
      </c>
      <c r="M29">
        <v>3.5</v>
      </c>
      <c r="N29">
        <v>0.5</v>
      </c>
      <c r="O29" s="19">
        <f t="shared" si="1"/>
        <v>1</v>
      </c>
      <c r="R29" s="1" t="s">
        <v>1493</v>
      </c>
      <c r="S29" s="24">
        <f>AVERAGE(L$62:L$81)</f>
        <v>7.9090000000000007</v>
      </c>
      <c r="T29" s="25"/>
      <c r="U29" s="24">
        <f>AVERAGE(L$82:L$101)</f>
        <v>11.870499999999998</v>
      </c>
      <c r="V29" s="25"/>
      <c r="W29" s="35">
        <f>AVERAGE(L$102:L$121)</f>
        <v>15.653500000000003</v>
      </c>
      <c r="X29" s="36"/>
    </row>
    <row r="30" spans="1:24" x14ac:dyDescent="0.25">
      <c r="A30" s="39"/>
      <c r="B30" s="41"/>
      <c r="C30" t="s">
        <v>1001</v>
      </c>
      <c r="D30" t="s">
        <v>181</v>
      </c>
      <c r="E30" s="3">
        <f t="shared" si="0"/>
        <v>4</v>
      </c>
      <c r="F30">
        <v>56.41</v>
      </c>
      <c r="G30">
        <v>4</v>
      </c>
      <c r="H30">
        <v>16.98</v>
      </c>
      <c r="I30">
        <v>8.48</v>
      </c>
      <c r="J30">
        <v>5.48</v>
      </c>
      <c r="K30">
        <v>4</v>
      </c>
      <c r="L30">
        <v>12</v>
      </c>
      <c r="M30">
        <v>3.5</v>
      </c>
      <c r="N30">
        <v>0.5</v>
      </c>
      <c r="O30" s="19">
        <f t="shared" si="1"/>
        <v>1</v>
      </c>
      <c r="R30" s="1" t="s">
        <v>1467</v>
      </c>
      <c r="S30" s="24">
        <f>AVERAGE(M$62:M$81)</f>
        <v>-0.59099999999999997</v>
      </c>
      <c r="T30" s="25"/>
      <c r="U30" s="24">
        <f>AVERAGE(M$82:M$101)</f>
        <v>3.3704999999999998</v>
      </c>
      <c r="V30" s="25"/>
      <c r="W30" s="35">
        <f>AVERAGE(M$102:M$121)</f>
        <v>7.153999999999999</v>
      </c>
      <c r="X30" s="36"/>
    </row>
    <row r="31" spans="1:24" x14ac:dyDescent="0.25">
      <c r="A31" s="39"/>
      <c r="B31" s="41"/>
      <c r="C31" t="s">
        <v>1002</v>
      </c>
      <c r="D31" t="s">
        <v>181</v>
      </c>
      <c r="E31" s="3">
        <f t="shared" si="0"/>
        <v>4</v>
      </c>
      <c r="F31">
        <v>56.41</v>
      </c>
      <c r="G31">
        <v>4</v>
      </c>
      <c r="H31">
        <v>16.98</v>
      </c>
      <c r="I31">
        <v>8.48</v>
      </c>
      <c r="J31">
        <v>5.48</v>
      </c>
      <c r="K31">
        <v>4</v>
      </c>
      <c r="L31">
        <v>11.75</v>
      </c>
      <c r="M31">
        <v>3.25</v>
      </c>
      <c r="N31">
        <v>0.25</v>
      </c>
      <c r="O31" s="19">
        <f t="shared" si="1"/>
        <v>1</v>
      </c>
      <c r="R31" s="1" t="s">
        <v>1468</v>
      </c>
      <c r="S31" s="24">
        <f>AVERAGE(N$62:N$81)</f>
        <v>-3.5909999999999997</v>
      </c>
      <c r="T31" s="25"/>
      <c r="U31" s="24">
        <f>AVERAGE(N$82:N$101)</f>
        <v>0.3705</v>
      </c>
      <c r="V31" s="25"/>
      <c r="W31" s="35">
        <f>AVERAGE(N$102:N$121)</f>
        <v>4.1540000000000008</v>
      </c>
      <c r="X31" s="36"/>
    </row>
    <row r="32" spans="1:24" x14ac:dyDescent="0.25">
      <c r="A32" s="39"/>
      <c r="B32" s="41"/>
      <c r="C32" t="s">
        <v>1003</v>
      </c>
      <c r="D32" t="s">
        <v>181</v>
      </c>
      <c r="E32" s="3">
        <f t="shared" si="0"/>
        <v>4</v>
      </c>
      <c r="F32">
        <v>56.41</v>
      </c>
      <c r="G32">
        <v>4</v>
      </c>
      <c r="H32">
        <v>16.98</v>
      </c>
      <c r="I32">
        <v>8.48</v>
      </c>
      <c r="J32">
        <v>5.48</v>
      </c>
      <c r="K32">
        <v>4</v>
      </c>
      <c r="L32">
        <v>11.41</v>
      </c>
      <c r="M32">
        <v>2.91</v>
      </c>
      <c r="N32">
        <v>-0.09</v>
      </c>
      <c r="O32" s="19">
        <f t="shared" si="1"/>
        <v>1</v>
      </c>
    </row>
    <row r="33" spans="1:24" x14ac:dyDescent="0.25">
      <c r="A33" s="39"/>
      <c r="B33" s="41"/>
      <c r="C33" t="s">
        <v>1004</v>
      </c>
      <c r="D33" t="s">
        <v>181</v>
      </c>
      <c r="E33" s="3">
        <f t="shared" si="0"/>
        <v>4</v>
      </c>
      <c r="F33">
        <v>56.41</v>
      </c>
      <c r="G33">
        <v>4</v>
      </c>
      <c r="H33">
        <v>16.98</v>
      </c>
      <c r="I33">
        <v>8.48</v>
      </c>
      <c r="J33">
        <v>5.48</v>
      </c>
      <c r="K33">
        <v>4</v>
      </c>
      <c r="L33">
        <v>12</v>
      </c>
      <c r="M33">
        <v>3.5</v>
      </c>
      <c r="N33">
        <v>0.5</v>
      </c>
      <c r="O33" s="19">
        <f t="shared" si="1"/>
        <v>1</v>
      </c>
      <c r="R33" s="37" t="s">
        <v>2</v>
      </c>
      <c r="S33" s="38"/>
      <c r="T33" s="38"/>
      <c r="U33" s="38"/>
      <c r="V33" s="38"/>
      <c r="W33" s="38"/>
      <c r="X33" s="26"/>
    </row>
    <row r="34" spans="1:24" x14ac:dyDescent="0.25">
      <c r="A34" s="39"/>
      <c r="B34" s="41"/>
      <c r="C34" t="s">
        <v>1005</v>
      </c>
      <c r="D34" t="s">
        <v>181</v>
      </c>
      <c r="E34" s="3">
        <f t="shared" si="0"/>
        <v>4</v>
      </c>
      <c r="F34">
        <v>56.41</v>
      </c>
      <c r="G34">
        <v>4</v>
      </c>
      <c r="H34">
        <v>16.98</v>
      </c>
      <c r="I34">
        <v>8.48</v>
      </c>
      <c r="J34">
        <v>5.48</v>
      </c>
      <c r="K34">
        <v>4</v>
      </c>
      <c r="L34">
        <v>10.27</v>
      </c>
      <c r="M34">
        <v>1.78</v>
      </c>
      <c r="N34">
        <v>-1.22</v>
      </c>
      <c r="O34" s="19">
        <f t="shared" si="1"/>
        <v>1</v>
      </c>
      <c r="R34" s="1"/>
      <c r="S34" s="37" t="s">
        <v>1460</v>
      </c>
      <c r="T34" s="26"/>
      <c r="U34" s="37" t="s">
        <v>1461</v>
      </c>
      <c r="V34" s="26"/>
      <c r="W34" s="37" t="s">
        <v>1462</v>
      </c>
      <c r="X34" s="26"/>
    </row>
    <row r="35" spans="1:24" x14ac:dyDescent="0.25">
      <c r="A35" s="39"/>
      <c r="B35" s="41"/>
      <c r="C35" t="s">
        <v>1006</v>
      </c>
      <c r="D35" t="s">
        <v>181</v>
      </c>
      <c r="E35" s="3">
        <f t="shared" si="0"/>
        <v>4</v>
      </c>
      <c r="F35">
        <v>56.41</v>
      </c>
      <c r="G35">
        <v>4</v>
      </c>
      <c r="H35">
        <v>16.98</v>
      </c>
      <c r="I35">
        <v>8.48</v>
      </c>
      <c r="J35">
        <v>5.48</v>
      </c>
      <c r="K35">
        <v>4</v>
      </c>
      <c r="L35">
        <v>11.67</v>
      </c>
      <c r="M35">
        <v>3.17</v>
      </c>
      <c r="N35">
        <v>0.17</v>
      </c>
      <c r="O35" s="19">
        <f t="shared" si="1"/>
        <v>1</v>
      </c>
      <c r="R35" s="1" t="s">
        <v>1488</v>
      </c>
      <c r="S35" s="35">
        <f>AVERAGE(E$122:E$141)</f>
        <v>2</v>
      </c>
      <c r="T35" s="36"/>
      <c r="U35" s="35">
        <f>AVERAGE(E$142:E$161)</f>
        <v>4</v>
      </c>
      <c r="V35" s="26"/>
      <c r="W35" s="35">
        <f>AVERAGE(E$162:E$181)</f>
        <v>4</v>
      </c>
      <c r="X35" s="26"/>
    </row>
    <row r="36" spans="1:24" x14ac:dyDescent="0.25">
      <c r="A36" s="39"/>
      <c r="B36" s="41"/>
      <c r="C36" t="s">
        <v>1007</v>
      </c>
      <c r="D36" t="s">
        <v>181</v>
      </c>
      <c r="E36" s="3">
        <f t="shared" si="0"/>
        <v>4</v>
      </c>
      <c r="F36">
        <v>56.41</v>
      </c>
      <c r="G36">
        <v>4</v>
      </c>
      <c r="H36">
        <v>16.98</v>
      </c>
      <c r="I36">
        <v>8.48</v>
      </c>
      <c r="J36">
        <v>5.48</v>
      </c>
      <c r="K36">
        <v>4</v>
      </c>
      <c r="L36">
        <v>12</v>
      </c>
      <c r="M36">
        <v>3.5</v>
      </c>
      <c r="N36">
        <v>0.5</v>
      </c>
      <c r="O36" s="19">
        <f t="shared" si="1"/>
        <v>1</v>
      </c>
      <c r="R36" s="1" t="s">
        <v>1463</v>
      </c>
      <c r="S36" s="35">
        <f>AVERAGE(G$122:G$141)</f>
        <v>4</v>
      </c>
      <c r="T36" s="36"/>
      <c r="U36" s="35">
        <f>AVERAGE(G$142:G$161)</f>
        <v>4</v>
      </c>
      <c r="V36" s="26"/>
      <c r="W36" s="35">
        <f>AVERAGE(G$162:G$181)</f>
        <v>4</v>
      </c>
      <c r="X36" s="26"/>
    </row>
    <row r="37" spans="1:24" x14ac:dyDescent="0.25">
      <c r="A37" s="39"/>
      <c r="B37" s="41"/>
      <c r="C37" t="s">
        <v>1009</v>
      </c>
      <c r="D37" t="s">
        <v>181</v>
      </c>
      <c r="E37" s="3">
        <f t="shared" si="0"/>
        <v>4</v>
      </c>
      <c r="F37">
        <v>56.41</v>
      </c>
      <c r="G37">
        <v>4</v>
      </c>
      <c r="H37">
        <v>16.98</v>
      </c>
      <c r="I37">
        <v>8.48</v>
      </c>
      <c r="J37">
        <v>5.48</v>
      </c>
      <c r="K37">
        <v>4</v>
      </c>
      <c r="L37">
        <v>12</v>
      </c>
      <c r="M37">
        <v>3.5</v>
      </c>
      <c r="N37">
        <v>0.5</v>
      </c>
      <c r="O37" s="19">
        <f t="shared" si="1"/>
        <v>1</v>
      </c>
      <c r="R37" s="1" t="s">
        <v>1464</v>
      </c>
      <c r="S37" s="24">
        <f>AVERAGE(H$122:H$141)</f>
        <v>14.864999999999995</v>
      </c>
      <c r="T37" s="25"/>
      <c r="U37" s="24">
        <f>AVERAGE(H$142:H$161)</f>
        <v>22.299999999999997</v>
      </c>
      <c r="V37" s="25"/>
      <c r="W37" s="24">
        <f>AVERAGE(H$162:H$181)</f>
        <v>29.735000000000003</v>
      </c>
      <c r="X37" s="25"/>
    </row>
    <row r="38" spans="1:24" x14ac:dyDescent="0.25">
      <c r="A38" s="39"/>
      <c r="B38" s="41"/>
      <c r="C38" t="s">
        <v>1008</v>
      </c>
      <c r="D38" t="s">
        <v>181</v>
      </c>
      <c r="E38" s="3">
        <f t="shared" si="0"/>
        <v>4</v>
      </c>
      <c r="F38">
        <v>56.41</v>
      </c>
      <c r="G38">
        <v>4</v>
      </c>
      <c r="H38">
        <v>16.98</v>
      </c>
      <c r="I38">
        <v>8.48</v>
      </c>
      <c r="J38">
        <v>5.48</v>
      </c>
      <c r="K38">
        <v>4</v>
      </c>
      <c r="L38">
        <v>11.57</v>
      </c>
      <c r="M38">
        <v>3.07</v>
      </c>
      <c r="N38">
        <v>7.0000000000000007E-2</v>
      </c>
      <c r="O38" s="19">
        <f t="shared" si="1"/>
        <v>1</v>
      </c>
      <c r="R38" s="1" t="s">
        <v>1465</v>
      </c>
      <c r="S38" s="24">
        <f>AVERAGE(I$122:I$141)</f>
        <v>6.3700000000000028</v>
      </c>
      <c r="T38" s="25"/>
      <c r="U38" s="24">
        <f>AVERAGE(I$142:I$161)</f>
        <v>13.799999999999997</v>
      </c>
      <c r="V38" s="25"/>
      <c r="W38" s="24">
        <f>AVERAGE(I$162:I$181)</f>
        <v>21.235000000000007</v>
      </c>
      <c r="X38" s="25"/>
    </row>
    <row r="39" spans="1:24" x14ac:dyDescent="0.25">
      <c r="A39" s="39"/>
      <c r="B39" s="41"/>
      <c r="C39" t="s">
        <v>1010</v>
      </c>
      <c r="D39" t="s">
        <v>181</v>
      </c>
      <c r="E39" s="3">
        <f t="shared" si="0"/>
        <v>4</v>
      </c>
      <c r="F39">
        <v>56.41</v>
      </c>
      <c r="G39">
        <v>4</v>
      </c>
      <c r="H39">
        <v>16.98</v>
      </c>
      <c r="I39">
        <v>8.48</v>
      </c>
      <c r="J39">
        <v>5.48</v>
      </c>
      <c r="K39">
        <v>4</v>
      </c>
      <c r="L39">
        <v>10.06</v>
      </c>
      <c r="M39">
        <v>1.56</v>
      </c>
      <c r="N39">
        <v>-1.44</v>
      </c>
      <c r="O39" s="19">
        <f t="shared" si="1"/>
        <v>1</v>
      </c>
      <c r="R39" s="1" t="s">
        <v>1466</v>
      </c>
      <c r="S39" s="24">
        <f>AVERAGE(J$122:J$141)</f>
        <v>3.3699999999999997</v>
      </c>
      <c r="T39" s="25"/>
      <c r="U39" s="24">
        <f>AVERAGE(J$142:J$161)</f>
        <v>10.799999999999997</v>
      </c>
      <c r="V39" s="25"/>
      <c r="W39" s="24">
        <f>AVERAGE(J$162:J$181)</f>
        <v>18.235000000000007</v>
      </c>
      <c r="X39" s="25"/>
    </row>
    <row r="40" spans="1:24" x14ac:dyDescent="0.25">
      <c r="A40" s="39"/>
      <c r="B40" s="41"/>
      <c r="C40" t="s">
        <v>1011</v>
      </c>
      <c r="D40" t="s">
        <v>181</v>
      </c>
      <c r="E40" s="3">
        <f t="shared" si="0"/>
        <v>4</v>
      </c>
      <c r="F40">
        <v>56.41</v>
      </c>
      <c r="G40">
        <v>4</v>
      </c>
      <c r="H40">
        <v>16.98</v>
      </c>
      <c r="I40">
        <v>8.48</v>
      </c>
      <c r="J40">
        <v>5.48</v>
      </c>
      <c r="K40">
        <v>4</v>
      </c>
      <c r="L40">
        <v>11.39</v>
      </c>
      <c r="M40">
        <v>2.89</v>
      </c>
      <c r="N40">
        <v>-0.11</v>
      </c>
      <c r="O40" s="19">
        <f t="shared" si="1"/>
        <v>1</v>
      </c>
      <c r="R40" s="1" t="s">
        <v>1512</v>
      </c>
      <c r="S40" s="35">
        <f>AVERAGE(K$122:K$141)</f>
        <v>2</v>
      </c>
      <c r="T40" s="36"/>
      <c r="U40" s="35">
        <f>AVERAGE(K$142:K$161)</f>
        <v>4</v>
      </c>
      <c r="V40" s="26"/>
      <c r="W40" s="35">
        <f>AVERAGE(K$162:K$181)</f>
        <v>4</v>
      </c>
      <c r="X40" s="26"/>
    </row>
    <row r="41" spans="1:24" x14ac:dyDescent="0.25">
      <c r="A41" s="39"/>
      <c r="B41" s="42"/>
      <c r="C41" s="10" t="s">
        <v>1012</v>
      </c>
      <c r="D41" s="10" t="s">
        <v>181</v>
      </c>
      <c r="E41" s="11">
        <f t="shared" si="0"/>
        <v>4</v>
      </c>
      <c r="F41" s="10">
        <v>56.41</v>
      </c>
      <c r="G41" s="10">
        <v>4</v>
      </c>
      <c r="H41" s="10">
        <v>16.98</v>
      </c>
      <c r="I41" s="10">
        <v>8.48</v>
      </c>
      <c r="J41" s="10">
        <v>5.48</v>
      </c>
      <c r="K41" s="10">
        <v>4</v>
      </c>
      <c r="L41" s="10">
        <v>12</v>
      </c>
      <c r="M41" s="10">
        <v>3.5</v>
      </c>
      <c r="N41" s="10">
        <v>0.5</v>
      </c>
      <c r="O41" s="20">
        <f t="shared" si="1"/>
        <v>1</v>
      </c>
      <c r="R41" s="1" t="s">
        <v>1493</v>
      </c>
      <c r="S41" s="24">
        <f>AVERAGE(L$122:L$141)</f>
        <v>7.9595000000000002</v>
      </c>
      <c r="T41" s="25"/>
      <c r="U41" s="24">
        <f>AVERAGE(L$142:L$161)</f>
        <v>11.782999999999999</v>
      </c>
      <c r="V41" s="25"/>
      <c r="W41" s="24">
        <f>AVERAGE(L$162:L$181)</f>
        <v>15.754</v>
      </c>
      <c r="X41" s="25"/>
    </row>
    <row r="42" spans="1:24" x14ac:dyDescent="0.25">
      <c r="A42" s="39"/>
      <c r="B42" s="40" t="s">
        <v>5</v>
      </c>
      <c r="C42" s="7" t="s">
        <v>1013</v>
      </c>
      <c r="D42" s="7" t="s">
        <v>181</v>
      </c>
      <c r="E42" s="8">
        <f t="shared" si="0"/>
        <v>4</v>
      </c>
      <c r="F42" s="7">
        <v>75.209999999999994</v>
      </c>
      <c r="G42" s="7">
        <v>4</v>
      </c>
      <c r="H42" s="7">
        <v>22.64</v>
      </c>
      <c r="I42" s="7">
        <v>14.14</v>
      </c>
      <c r="J42" s="7">
        <v>11.14</v>
      </c>
      <c r="K42" s="7">
        <v>4</v>
      </c>
      <c r="L42" s="7">
        <v>15</v>
      </c>
      <c r="M42" s="7">
        <v>6.5</v>
      </c>
      <c r="N42" s="7">
        <v>3.5</v>
      </c>
      <c r="O42" s="18">
        <f t="shared" si="1"/>
        <v>1</v>
      </c>
      <c r="R42" s="1" t="s">
        <v>1467</v>
      </c>
      <c r="S42" s="24">
        <f>AVERAGE(M$122:M$141)</f>
        <v>-0.54049999999999998</v>
      </c>
      <c r="T42" s="25"/>
      <c r="U42" s="24">
        <f>AVERAGE(M$142:M$161)</f>
        <v>3.2834999999999992</v>
      </c>
      <c r="V42" s="25"/>
      <c r="W42" s="24">
        <f>AVERAGE(M$162:M$181)</f>
        <v>7.2549999999999999</v>
      </c>
      <c r="X42" s="25"/>
    </row>
    <row r="43" spans="1:24" x14ac:dyDescent="0.25">
      <c r="A43" s="39"/>
      <c r="B43" s="41"/>
      <c r="C43" t="s">
        <v>1014</v>
      </c>
      <c r="D43" t="s">
        <v>181</v>
      </c>
      <c r="E43" s="3">
        <f t="shared" si="0"/>
        <v>4</v>
      </c>
      <c r="F43">
        <v>75.209999999999994</v>
      </c>
      <c r="G43">
        <v>4</v>
      </c>
      <c r="H43">
        <v>22.64</v>
      </c>
      <c r="I43">
        <v>14.14</v>
      </c>
      <c r="J43">
        <v>11.14</v>
      </c>
      <c r="K43">
        <v>4</v>
      </c>
      <c r="L43">
        <v>15.62</v>
      </c>
      <c r="M43">
        <v>7.12</v>
      </c>
      <c r="N43">
        <v>4.12</v>
      </c>
      <c r="O43" s="19">
        <f t="shared" si="1"/>
        <v>1</v>
      </c>
      <c r="R43" s="1" t="s">
        <v>1468</v>
      </c>
      <c r="S43" s="24">
        <f>AVERAGE(N$122:N$141)</f>
        <v>-3.5405000000000002</v>
      </c>
      <c r="T43" s="25"/>
      <c r="U43" s="24">
        <f>AVERAGE(N$142:N$161)</f>
        <v>0.28349999999999997</v>
      </c>
      <c r="V43" s="25"/>
      <c r="W43" s="24">
        <f>AVERAGE(N$162:N$181)</f>
        <v>4.2549999999999999</v>
      </c>
      <c r="X43" s="25"/>
    </row>
    <row r="44" spans="1:24" x14ac:dyDescent="0.25">
      <c r="A44" s="39"/>
      <c r="B44" s="41"/>
      <c r="C44" t="s">
        <v>1015</v>
      </c>
      <c r="D44" t="s">
        <v>181</v>
      </c>
      <c r="E44" s="3">
        <f t="shared" si="0"/>
        <v>4</v>
      </c>
      <c r="F44">
        <v>75.209999999999994</v>
      </c>
      <c r="G44">
        <v>4</v>
      </c>
      <c r="H44">
        <v>22.64</v>
      </c>
      <c r="I44">
        <v>14.14</v>
      </c>
      <c r="J44">
        <v>11.14</v>
      </c>
      <c r="K44">
        <v>4</v>
      </c>
      <c r="L44">
        <v>16</v>
      </c>
      <c r="M44">
        <v>7.5</v>
      </c>
      <c r="N44">
        <v>4.5</v>
      </c>
      <c r="O44" s="19">
        <f t="shared" si="1"/>
        <v>1</v>
      </c>
    </row>
    <row r="45" spans="1:24" x14ac:dyDescent="0.25">
      <c r="A45" s="39"/>
      <c r="B45" s="41"/>
      <c r="C45" t="s">
        <v>1016</v>
      </c>
      <c r="D45" t="s">
        <v>181</v>
      </c>
      <c r="E45" s="3">
        <f t="shared" si="0"/>
        <v>4</v>
      </c>
      <c r="F45">
        <v>75.209999999999994</v>
      </c>
      <c r="G45">
        <v>4</v>
      </c>
      <c r="H45">
        <v>22.64</v>
      </c>
      <c r="I45">
        <v>14.14</v>
      </c>
      <c r="J45">
        <v>11.14</v>
      </c>
      <c r="K45">
        <v>4</v>
      </c>
      <c r="L45">
        <v>16</v>
      </c>
      <c r="M45">
        <v>7.5</v>
      </c>
      <c r="N45">
        <v>4.5</v>
      </c>
      <c r="O45" s="19">
        <f t="shared" si="1"/>
        <v>1</v>
      </c>
      <c r="R45" s="37" t="s">
        <v>1491</v>
      </c>
      <c r="S45" s="38"/>
      <c r="T45" s="38"/>
      <c r="U45" s="38"/>
      <c r="V45" s="38"/>
      <c r="W45" s="38"/>
      <c r="X45" s="26"/>
    </row>
    <row r="46" spans="1:24" x14ac:dyDescent="0.25">
      <c r="A46" s="39"/>
      <c r="B46" s="41"/>
      <c r="C46" t="s">
        <v>1017</v>
      </c>
      <c r="D46" t="s">
        <v>181</v>
      </c>
      <c r="E46" s="3">
        <f t="shared" si="0"/>
        <v>4</v>
      </c>
      <c r="F46">
        <v>75.209999999999994</v>
      </c>
      <c r="G46">
        <v>4</v>
      </c>
      <c r="H46">
        <v>22.64</v>
      </c>
      <c r="I46">
        <v>14.14</v>
      </c>
      <c r="J46">
        <v>11.14</v>
      </c>
      <c r="K46">
        <v>4</v>
      </c>
      <c r="L46">
        <v>15.67</v>
      </c>
      <c r="M46">
        <v>7.17</v>
      </c>
      <c r="N46">
        <v>4.17</v>
      </c>
      <c r="O46" s="19">
        <f t="shared" si="1"/>
        <v>1</v>
      </c>
      <c r="R46" s="1"/>
      <c r="S46" s="37" t="s">
        <v>1460</v>
      </c>
      <c r="T46" s="26"/>
      <c r="U46" s="37" t="s">
        <v>1461</v>
      </c>
      <c r="V46" s="26"/>
      <c r="W46" s="37" t="s">
        <v>1462</v>
      </c>
      <c r="X46" s="26"/>
    </row>
    <row r="47" spans="1:24" x14ac:dyDescent="0.25">
      <c r="A47" s="39"/>
      <c r="B47" s="41"/>
      <c r="C47" t="s">
        <v>1018</v>
      </c>
      <c r="D47" t="s">
        <v>181</v>
      </c>
      <c r="E47" s="3">
        <f t="shared" si="0"/>
        <v>4</v>
      </c>
      <c r="F47">
        <v>75.209999999999994</v>
      </c>
      <c r="G47">
        <v>4</v>
      </c>
      <c r="H47">
        <v>22.64</v>
      </c>
      <c r="I47">
        <v>14.14</v>
      </c>
      <c r="J47">
        <v>11.14</v>
      </c>
      <c r="K47">
        <v>4</v>
      </c>
      <c r="L47">
        <v>15.67</v>
      </c>
      <c r="M47">
        <v>7.17</v>
      </c>
      <c r="N47">
        <v>4.17</v>
      </c>
      <c r="O47" s="19">
        <f t="shared" si="1"/>
        <v>1</v>
      </c>
      <c r="R47" s="1" t="s">
        <v>1488</v>
      </c>
      <c r="S47" s="35">
        <f>AVERAGE(E$182:E$201)</f>
        <v>2</v>
      </c>
      <c r="T47" s="36"/>
      <c r="U47" s="35">
        <f>AVERAGE(E$202:E$221)</f>
        <v>4</v>
      </c>
      <c r="V47" s="26"/>
      <c r="W47" s="35">
        <f>AVERAGE(E$222:E$241)</f>
        <v>4</v>
      </c>
      <c r="X47" s="26"/>
    </row>
    <row r="48" spans="1:24" x14ac:dyDescent="0.25">
      <c r="A48" s="39"/>
      <c r="B48" s="41"/>
      <c r="C48" t="s">
        <v>1019</v>
      </c>
      <c r="D48" t="s">
        <v>181</v>
      </c>
      <c r="E48" s="3">
        <f t="shared" si="0"/>
        <v>4</v>
      </c>
      <c r="F48">
        <v>75.209999999999994</v>
      </c>
      <c r="G48">
        <v>4</v>
      </c>
      <c r="H48">
        <v>22.64</v>
      </c>
      <c r="I48">
        <v>14.14</v>
      </c>
      <c r="J48">
        <v>11.14</v>
      </c>
      <c r="K48">
        <v>4</v>
      </c>
      <c r="L48">
        <v>15.67</v>
      </c>
      <c r="M48">
        <v>7.17</v>
      </c>
      <c r="N48">
        <v>4.17</v>
      </c>
      <c r="O48" s="19">
        <f t="shared" si="1"/>
        <v>1</v>
      </c>
      <c r="R48" s="1" t="s">
        <v>1463</v>
      </c>
      <c r="S48" s="35">
        <f>AVERAGE(G$182:G$201)</f>
        <v>4</v>
      </c>
      <c r="T48" s="36"/>
      <c r="U48" s="35">
        <f>AVERAGE(G$202:G$221)</f>
        <v>4</v>
      </c>
      <c r="V48" s="26"/>
      <c r="W48" s="35">
        <f>AVERAGE(G$222:G$241)</f>
        <v>4</v>
      </c>
      <c r="X48" s="26"/>
    </row>
    <row r="49" spans="1:24" x14ac:dyDescent="0.25">
      <c r="A49" s="39"/>
      <c r="B49" s="41"/>
      <c r="C49" t="s">
        <v>1020</v>
      </c>
      <c r="D49" t="s">
        <v>181</v>
      </c>
      <c r="E49" s="3">
        <f t="shared" si="0"/>
        <v>4</v>
      </c>
      <c r="F49">
        <v>75.209999999999994</v>
      </c>
      <c r="G49">
        <v>4</v>
      </c>
      <c r="H49">
        <v>22.64</v>
      </c>
      <c r="I49">
        <v>14.14</v>
      </c>
      <c r="J49">
        <v>11.14</v>
      </c>
      <c r="K49">
        <v>4</v>
      </c>
      <c r="L49">
        <v>16</v>
      </c>
      <c r="M49">
        <v>7.5</v>
      </c>
      <c r="N49">
        <v>4.5</v>
      </c>
      <c r="O49" s="19">
        <f t="shared" si="1"/>
        <v>1</v>
      </c>
      <c r="R49" s="1" t="s">
        <v>1464</v>
      </c>
      <c r="S49" s="24">
        <f>AVERAGE(H$182:H$201)</f>
        <v>15.789999999999997</v>
      </c>
      <c r="T49" s="25"/>
      <c r="U49" s="24">
        <f>AVERAGE(H$202:H$221)</f>
        <v>23.680000000000003</v>
      </c>
      <c r="V49" s="25"/>
      <c r="W49" s="24">
        <f>AVERAGE(H$222:H$241)</f>
        <v>31.570000000000004</v>
      </c>
      <c r="X49" s="25"/>
    </row>
    <row r="50" spans="1:24" x14ac:dyDescent="0.25">
      <c r="A50" s="39"/>
      <c r="B50" s="41"/>
      <c r="C50" t="s">
        <v>1021</v>
      </c>
      <c r="D50" t="s">
        <v>181</v>
      </c>
      <c r="E50" s="3">
        <f t="shared" si="0"/>
        <v>4</v>
      </c>
      <c r="F50">
        <v>75.209999999999994</v>
      </c>
      <c r="G50">
        <v>4</v>
      </c>
      <c r="H50">
        <v>22.64</v>
      </c>
      <c r="I50">
        <v>14.14</v>
      </c>
      <c r="J50">
        <v>11.14</v>
      </c>
      <c r="K50">
        <v>4</v>
      </c>
      <c r="L50">
        <v>14.28</v>
      </c>
      <c r="M50">
        <v>5.78</v>
      </c>
      <c r="N50">
        <v>2.78</v>
      </c>
      <c r="O50" s="19">
        <f t="shared" si="1"/>
        <v>1</v>
      </c>
      <c r="R50" s="1" t="s">
        <v>1465</v>
      </c>
      <c r="S50" s="24">
        <f>AVERAGE(I$182:I$201)</f>
        <v>7.2900000000000018</v>
      </c>
      <c r="T50" s="25"/>
      <c r="U50" s="24">
        <f>AVERAGE(I$202:I$221)</f>
        <v>15.180000000000003</v>
      </c>
      <c r="V50" s="25"/>
      <c r="W50" s="24">
        <f>AVERAGE(I$222:I$241)</f>
        <v>23.069999999999997</v>
      </c>
      <c r="X50" s="25"/>
    </row>
    <row r="51" spans="1:24" x14ac:dyDescent="0.25">
      <c r="A51" s="39"/>
      <c r="B51" s="41"/>
      <c r="C51" t="s">
        <v>1022</v>
      </c>
      <c r="D51" t="s">
        <v>181</v>
      </c>
      <c r="E51" s="3">
        <f t="shared" si="0"/>
        <v>4</v>
      </c>
      <c r="F51">
        <v>75.209999999999994</v>
      </c>
      <c r="G51">
        <v>4</v>
      </c>
      <c r="H51">
        <v>22.64</v>
      </c>
      <c r="I51">
        <v>14.14</v>
      </c>
      <c r="J51">
        <v>11.14</v>
      </c>
      <c r="K51">
        <v>4</v>
      </c>
      <c r="L51">
        <v>15.67</v>
      </c>
      <c r="M51">
        <v>7.17</v>
      </c>
      <c r="N51">
        <v>4.17</v>
      </c>
      <c r="O51" s="19">
        <f t="shared" si="1"/>
        <v>1</v>
      </c>
      <c r="R51" s="1" t="s">
        <v>1466</v>
      </c>
      <c r="S51" s="24">
        <f>AVERAGE(J$182:J$201)</f>
        <v>4.2900000000000009</v>
      </c>
      <c r="T51" s="25"/>
      <c r="U51" s="24">
        <f>AVERAGE(J$202:J$221)</f>
        <v>12.180000000000003</v>
      </c>
      <c r="V51" s="25"/>
      <c r="W51" s="24">
        <f>AVERAGE(J$222:J$241)</f>
        <v>20.069999999999997</v>
      </c>
      <c r="X51" s="25"/>
    </row>
    <row r="52" spans="1:24" x14ac:dyDescent="0.25">
      <c r="A52" s="39"/>
      <c r="B52" s="41"/>
      <c r="C52" t="s">
        <v>1023</v>
      </c>
      <c r="D52" t="s">
        <v>181</v>
      </c>
      <c r="E52" s="3">
        <f t="shared" si="0"/>
        <v>4</v>
      </c>
      <c r="F52">
        <v>75.209999999999994</v>
      </c>
      <c r="G52">
        <v>4</v>
      </c>
      <c r="H52">
        <v>22.64</v>
      </c>
      <c r="I52">
        <v>14.14</v>
      </c>
      <c r="J52">
        <v>11.14</v>
      </c>
      <c r="K52">
        <v>4</v>
      </c>
      <c r="L52">
        <v>15.48</v>
      </c>
      <c r="M52">
        <v>6.98</v>
      </c>
      <c r="N52">
        <v>3.98</v>
      </c>
      <c r="O52" s="19">
        <f t="shared" si="1"/>
        <v>1</v>
      </c>
      <c r="R52" s="1" t="s">
        <v>1512</v>
      </c>
      <c r="S52" s="35">
        <f>AVERAGE(K$182:K$201)</f>
        <v>2</v>
      </c>
      <c r="T52" s="36"/>
      <c r="U52" s="35">
        <f>AVERAGE(K$202:K$221)</f>
        <v>4</v>
      </c>
      <c r="V52" s="26"/>
      <c r="W52" s="35">
        <f>AVERAGE(K$222:K$241)</f>
        <v>4</v>
      </c>
      <c r="X52" s="26"/>
    </row>
    <row r="53" spans="1:24" x14ac:dyDescent="0.25">
      <c r="A53" s="39"/>
      <c r="B53" s="41"/>
      <c r="C53" t="s">
        <v>1024</v>
      </c>
      <c r="D53" t="s">
        <v>181</v>
      </c>
      <c r="E53" s="3">
        <f t="shared" si="0"/>
        <v>4</v>
      </c>
      <c r="F53">
        <v>75.209999999999994</v>
      </c>
      <c r="G53">
        <v>4</v>
      </c>
      <c r="H53">
        <v>22.64</v>
      </c>
      <c r="I53">
        <v>14.14</v>
      </c>
      <c r="J53">
        <v>11.14</v>
      </c>
      <c r="K53">
        <v>4</v>
      </c>
      <c r="L53">
        <v>16</v>
      </c>
      <c r="M53">
        <v>7.5</v>
      </c>
      <c r="N53">
        <v>4.5</v>
      </c>
      <c r="O53" s="19">
        <f t="shared" si="1"/>
        <v>1</v>
      </c>
      <c r="R53" s="1" t="s">
        <v>1493</v>
      </c>
      <c r="S53" s="24">
        <f>AVERAGE(L$182:L$201)</f>
        <v>7.8805000000000005</v>
      </c>
      <c r="T53" s="25"/>
      <c r="U53" s="24">
        <f>AVERAGE(L$202:L$221)</f>
        <v>11.864000000000001</v>
      </c>
      <c r="V53" s="25"/>
      <c r="W53" s="24">
        <f>AVERAGE(L$222:L$241)</f>
        <v>15.928000000000001</v>
      </c>
      <c r="X53" s="25"/>
    </row>
    <row r="54" spans="1:24" x14ac:dyDescent="0.25">
      <c r="A54" s="39"/>
      <c r="B54" s="41"/>
      <c r="C54" t="s">
        <v>1025</v>
      </c>
      <c r="D54" t="s">
        <v>181</v>
      </c>
      <c r="E54" s="3">
        <f t="shared" si="0"/>
        <v>4</v>
      </c>
      <c r="F54">
        <v>75.209999999999994</v>
      </c>
      <c r="G54">
        <v>4</v>
      </c>
      <c r="H54">
        <v>22.64</v>
      </c>
      <c r="I54">
        <v>14.14</v>
      </c>
      <c r="J54">
        <v>11.14</v>
      </c>
      <c r="K54">
        <v>4</v>
      </c>
      <c r="L54">
        <v>15.03</v>
      </c>
      <c r="M54">
        <v>6.53</v>
      </c>
      <c r="N54">
        <v>3.53</v>
      </c>
      <c r="O54" s="19">
        <f t="shared" si="1"/>
        <v>1</v>
      </c>
      <c r="R54" s="1" t="s">
        <v>1467</v>
      </c>
      <c r="S54" s="24">
        <f>AVERAGE(M$182:M$201)</f>
        <v>-0.61850000000000005</v>
      </c>
      <c r="T54" s="25"/>
      <c r="U54" s="24">
        <f>AVERAGE(M$202:M$221)</f>
        <v>3.3650000000000007</v>
      </c>
      <c r="V54" s="25"/>
      <c r="W54" s="24">
        <f>AVERAGE(M$222:M$241)</f>
        <v>7.4279999999999999</v>
      </c>
      <c r="X54" s="25"/>
    </row>
    <row r="55" spans="1:24" x14ac:dyDescent="0.25">
      <c r="A55" s="39"/>
      <c r="B55" s="41"/>
      <c r="C55" t="s">
        <v>1026</v>
      </c>
      <c r="D55" t="s">
        <v>181</v>
      </c>
      <c r="E55" s="3">
        <f t="shared" si="0"/>
        <v>4</v>
      </c>
      <c r="F55">
        <v>75.209999999999994</v>
      </c>
      <c r="G55">
        <v>4</v>
      </c>
      <c r="H55">
        <v>22.64</v>
      </c>
      <c r="I55">
        <v>14.14</v>
      </c>
      <c r="J55">
        <v>11.14</v>
      </c>
      <c r="K55">
        <v>4</v>
      </c>
      <c r="L55">
        <v>15.54</v>
      </c>
      <c r="M55">
        <v>7.04</v>
      </c>
      <c r="N55">
        <v>4.04</v>
      </c>
      <c r="O55" s="19">
        <f t="shared" si="1"/>
        <v>1</v>
      </c>
      <c r="R55" s="1" t="s">
        <v>1468</v>
      </c>
      <c r="S55" s="24">
        <f>AVERAGE(N$182:N$201)</f>
        <v>-3.6185</v>
      </c>
      <c r="T55" s="25"/>
      <c r="U55" s="24">
        <f>AVERAGE(N$202:N$221)</f>
        <v>0.36499999999999994</v>
      </c>
      <c r="V55" s="25"/>
      <c r="W55" s="24">
        <f>AVERAGE(N$222:N$241)</f>
        <v>4.4279999999999999</v>
      </c>
      <c r="X55" s="25"/>
    </row>
    <row r="56" spans="1:24" x14ac:dyDescent="0.25">
      <c r="A56" s="39"/>
      <c r="B56" s="41"/>
      <c r="C56" t="s">
        <v>1027</v>
      </c>
      <c r="D56" t="s">
        <v>181</v>
      </c>
      <c r="E56" s="3">
        <f t="shared" si="0"/>
        <v>4</v>
      </c>
      <c r="F56">
        <v>75.209999999999994</v>
      </c>
      <c r="G56">
        <v>4</v>
      </c>
      <c r="H56">
        <v>22.64</v>
      </c>
      <c r="I56">
        <v>14.14</v>
      </c>
      <c r="J56">
        <v>11.14</v>
      </c>
      <c r="K56">
        <v>4</v>
      </c>
      <c r="L56">
        <v>16</v>
      </c>
      <c r="M56">
        <v>7.5</v>
      </c>
      <c r="N56">
        <v>4.5</v>
      </c>
      <c r="O56" s="19">
        <f t="shared" si="1"/>
        <v>1</v>
      </c>
    </row>
    <row r="57" spans="1:24" x14ac:dyDescent="0.25">
      <c r="A57" s="39"/>
      <c r="B57" s="41"/>
      <c r="C57" t="s">
        <v>1028</v>
      </c>
      <c r="D57" t="s">
        <v>181</v>
      </c>
      <c r="E57" s="3">
        <f t="shared" si="0"/>
        <v>4</v>
      </c>
      <c r="F57">
        <v>75.209999999999994</v>
      </c>
      <c r="G57">
        <v>4</v>
      </c>
      <c r="H57">
        <v>22.64</v>
      </c>
      <c r="I57">
        <v>14.14</v>
      </c>
      <c r="J57">
        <v>11.14</v>
      </c>
      <c r="K57">
        <v>4</v>
      </c>
      <c r="L57">
        <v>15.48</v>
      </c>
      <c r="M57">
        <v>6.98</v>
      </c>
      <c r="N57">
        <v>3.98</v>
      </c>
      <c r="O57" s="19">
        <f t="shared" si="1"/>
        <v>1</v>
      </c>
      <c r="R57" s="37"/>
      <c r="S57" s="38"/>
      <c r="T57" s="38"/>
      <c r="U57" s="38"/>
      <c r="V57" s="38"/>
      <c r="W57" s="38"/>
      <c r="X57" s="26"/>
    </row>
    <row r="58" spans="1:24" x14ac:dyDescent="0.25">
      <c r="A58" s="39"/>
      <c r="B58" s="41"/>
      <c r="C58" t="s">
        <v>1029</v>
      </c>
      <c r="D58" t="s">
        <v>181</v>
      </c>
      <c r="E58" s="3">
        <f t="shared" si="0"/>
        <v>4</v>
      </c>
      <c r="F58">
        <v>75.209999999999994</v>
      </c>
      <c r="G58">
        <v>4</v>
      </c>
      <c r="H58">
        <v>22.64</v>
      </c>
      <c r="I58">
        <v>14.14</v>
      </c>
      <c r="J58">
        <v>11.14</v>
      </c>
      <c r="K58">
        <v>4</v>
      </c>
      <c r="L58">
        <v>16</v>
      </c>
      <c r="M58">
        <v>7.5</v>
      </c>
      <c r="N58">
        <v>4.5</v>
      </c>
      <c r="O58" s="19">
        <f t="shared" si="1"/>
        <v>1</v>
      </c>
      <c r="R58" s="1"/>
      <c r="S58" s="30" t="s">
        <v>1460</v>
      </c>
      <c r="T58" s="30"/>
      <c r="U58" s="30" t="s">
        <v>1461</v>
      </c>
      <c r="V58" s="30"/>
      <c r="W58" s="30" t="s">
        <v>1462</v>
      </c>
      <c r="X58" s="30"/>
    </row>
    <row r="59" spans="1:24" x14ac:dyDescent="0.25">
      <c r="A59" s="39"/>
      <c r="B59" s="41"/>
      <c r="C59" t="s">
        <v>1030</v>
      </c>
      <c r="D59" t="s">
        <v>181</v>
      </c>
      <c r="E59" s="3">
        <f t="shared" si="0"/>
        <v>4</v>
      </c>
      <c r="F59">
        <v>75.209999999999994</v>
      </c>
      <c r="G59">
        <v>4</v>
      </c>
      <c r="H59">
        <v>22.64</v>
      </c>
      <c r="I59">
        <v>14.14</v>
      </c>
      <c r="J59">
        <v>11.14</v>
      </c>
      <c r="K59">
        <v>4</v>
      </c>
      <c r="L59">
        <v>16</v>
      </c>
      <c r="M59">
        <v>7.5</v>
      </c>
      <c r="N59">
        <v>4.5</v>
      </c>
      <c r="O59" s="19">
        <f t="shared" si="1"/>
        <v>1</v>
      </c>
      <c r="Q59" s="32" t="s">
        <v>0</v>
      </c>
      <c r="R59" s="1" t="s">
        <v>1488</v>
      </c>
      <c r="S59" s="35">
        <v>2</v>
      </c>
      <c r="T59" s="36"/>
      <c r="U59" s="35">
        <v>4</v>
      </c>
      <c r="V59" s="26"/>
      <c r="W59" s="35">
        <v>4</v>
      </c>
      <c r="X59" s="26"/>
    </row>
    <row r="60" spans="1:24" x14ac:dyDescent="0.25">
      <c r="A60" s="39"/>
      <c r="B60" s="41"/>
      <c r="C60" t="s">
        <v>1031</v>
      </c>
      <c r="D60" t="s">
        <v>181</v>
      </c>
      <c r="E60" s="3">
        <f t="shared" si="0"/>
        <v>4</v>
      </c>
      <c r="F60">
        <v>75.209999999999994</v>
      </c>
      <c r="G60">
        <v>4</v>
      </c>
      <c r="H60">
        <v>22.64</v>
      </c>
      <c r="I60">
        <v>14.14</v>
      </c>
      <c r="J60">
        <v>11.14</v>
      </c>
      <c r="K60">
        <v>4</v>
      </c>
      <c r="L60">
        <v>16</v>
      </c>
      <c r="M60">
        <v>7.5</v>
      </c>
      <c r="N60">
        <v>4.5</v>
      </c>
      <c r="O60" s="19">
        <f t="shared" si="1"/>
        <v>1</v>
      </c>
      <c r="Q60" s="33"/>
      <c r="R60" s="1" t="s">
        <v>1512</v>
      </c>
      <c r="S60" s="35">
        <v>2</v>
      </c>
      <c r="T60" s="26"/>
      <c r="U60" s="35">
        <v>4</v>
      </c>
      <c r="V60" s="26"/>
      <c r="W60" s="35">
        <v>4</v>
      </c>
      <c r="X60" s="26"/>
    </row>
    <row r="61" spans="1:24" x14ac:dyDescent="0.25">
      <c r="A61" s="39"/>
      <c r="B61" s="42"/>
      <c r="C61" s="10" t="s">
        <v>1031</v>
      </c>
      <c r="D61" s="10" t="s">
        <v>181</v>
      </c>
      <c r="E61" s="11">
        <f t="shared" si="0"/>
        <v>4</v>
      </c>
      <c r="F61" s="10">
        <v>75.209999999999994</v>
      </c>
      <c r="G61" s="10">
        <v>4</v>
      </c>
      <c r="H61" s="10">
        <v>22.64</v>
      </c>
      <c r="I61" s="10">
        <v>14.14</v>
      </c>
      <c r="J61" s="10">
        <v>11.14</v>
      </c>
      <c r="K61" s="10">
        <v>4</v>
      </c>
      <c r="L61" s="10">
        <v>16</v>
      </c>
      <c r="M61" s="10">
        <v>7.5</v>
      </c>
      <c r="N61" s="10">
        <v>4.5</v>
      </c>
      <c r="O61" s="20">
        <f t="shared" si="1"/>
        <v>1</v>
      </c>
      <c r="Q61" s="34"/>
      <c r="R61" s="1" t="s">
        <v>1463</v>
      </c>
      <c r="S61" s="35">
        <v>4</v>
      </c>
      <c r="T61" s="26"/>
      <c r="U61" s="35">
        <v>4</v>
      </c>
      <c r="V61" s="26"/>
      <c r="W61" s="35">
        <v>4</v>
      </c>
      <c r="X61" s="26"/>
    </row>
    <row r="62" spans="1:24" x14ac:dyDescent="0.25">
      <c r="A62" s="39" t="s">
        <v>1</v>
      </c>
      <c r="B62" s="40" t="s">
        <v>4</v>
      </c>
      <c r="C62" s="7" t="s">
        <v>1032</v>
      </c>
      <c r="D62" s="7" t="s">
        <v>271</v>
      </c>
      <c r="E62" s="8">
        <f t="shared" si="0"/>
        <v>2</v>
      </c>
      <c r="F62" s="7">
        <v>45.6</v>
      </c>
      <c r="G62" s="7">
        <v>4</v>
      </c>
      <c r="H62" s="7">
        <v>13.73</v>
      </c>
      <c r="I62" s="7">
        <v>5.23</v>
      </c>
      <c r="J62" s="7">
        <v>2.23</v>
      </c>
      <c r="K62" s="7">
        <v>2</v>
      </c>
      <c r="L62" s="7">
        <v>8</v>
      </c>
      <c r="M62" s="7">
        <v>-0.5</v>
      </c>
      <c r="N62" s="7">
        <v>-3.5</v>
      </c>
      <c r="O62" s="18">
        <f t="shared" si="1"/>
        <v>1</v>
      </c>
      <c r="Q62" s="32" t="s">
        <v>1</v>
      </c>
      <c r="R62" s="1" t="s">
        <v>1488</v>
      </c>
      <c r="S62" s="35">
        <v>2</v>
      </c>
      <c r="T62" s="36"/>
      <c r="U62" s="35">
        <v>4</v>
      </c>
      <c r="V62" s="26"/>
      <c r="W62" s="35">
        <v>4</v>
      </c>
      <c r="X62" s="26"/>
    </row>
    <row r="63" spans="1:24" x14ac:dyDescent="0.25">
      <c r="A63" s="39"/>
      <c r="B63" s="41"/>
      <c r="C63" t="s">
        <v>1033</v>
      </c>
      <c r="D63" t="s">
        <v>271</v>
      </c>
      <c r="E63" s="3">
        <f t="shared" si="0"/>
        <v>2</v>
      </c>
      <c r="F63">
        <v>45.6</v>
      </c>
      <c r="G63">
        <v>4</v>
      </c>
      <c r="H63">
        <v>13.73</v>
      </c>
      <c r="I63">
        <v>5.23</v>
      </c>
      <c r="J63">
        <v>2.23</v>
      </c>
      <c r="K63">
        <v>2</v>
      </c>
      <c r="L63">
        <v>8</v>
      </c>
      <c r="M63">
        <v>-0.5</v>
      </c>
      <c r="N63">
        <v>-3.5</v>
      </c>
      <c r="O63" s="19">
        <f t="shared" si="1"/>
        <v>1</v>
      </c>
      <c r="Q63" s="33"/>
      <c r="R63" s="1" t="s">
        <v>1512</v>
      </c>
      <c r="S63" s="35">
        <v>2</v>
      </c>
      <c r="T63" s="36"/>
      <c r="U63" s="35">
        <v>4</v>
      </c>
      <c r="V63" s="36"/>
      <c r="W63" s="35">
        <v>4</v>
      </c>
      <c r="X63" s="36"/>
    </row>
    <row r="64" spans="1:24" x14ac:dyDescent="0.25">
      <c r="A64" s="39"/>
      <c r="B64" s="41"/>
      <c r="C64" t="s">
        <v>1034</v>
      </c>
      <c r="D64" t="s">
        <v>271</v>
      </c>
      <c r="E64" s="3">
        <f t="shared" si="0"/>
        <v>2</v>
      </c>
      <c r="F64">
        <v>45.6</v>
      </c>
      <c r="G64">
        <v>4</v>
      </c>
      <c r="H64">
        <v>13.73</v>
      </c>
      <c r="I64">
        <v>5.23</v>
      </c>
      <c r="J64">
        <v>2.23</v>
      </c>
      <c r="K64">
        <v>2</v>
      </c>
      <c r="L64">
        <v>8</v>
      </c>
      <c r="M64">
        <v>-0.5</v>
      </c>
      <c r="N64">
        <v>-3.5</v>
      </c>
      <c r="O64" s="19">
        <f t="shared" si="1"/>
        <v>1</v>
      </c>
      <c r="Q64" s="34"/>
      <c r="R64" s="1" t="s">
        <v>1463</v>
      </c>
      <c r="S64" s="35">
        <v>4</v>
      </c>
      <c r="T64" s="36"/>
      <c r="U64" s="35">
        <v>4</v>
      </c>
      <c r="V64" s="36"/>
      <c r="W64" s="35">
        <v>4</v>
      </c>
      <c r="X64" s="36"/>
    </row>
    <row r="65" spans="1:24" x14ac:dyDescent="0.25">
      <c r="A65" s="39"/>
      <c r="B65" s="41"/>
      <c r="C65" t="s">
        <v>1035</v>
      </c>
      <c r="D65" t="s">
        <v>271</v>
      </c>
      <c r="E65" s="3">
        <f t="shared" si="0"/>
        <v>2</v>
      </c>
      <c r="F65">
        <v>45.6</v>
      </c>
      <c r="G65">
        <v>4</v>
      </c>
      <c r="H65">
        <v>13.73</v>
      </c>
      <c r="I65">
        <v>5.23</v>
      </c>
      <c r="J65">
        <v>2.23</v>
      </c>
      <c r="K65">
        <v>2</v>
      </c>
      <c r="L65">
        <v>8</v>
      </c>
      <c r="M65">
        <v>-0.5</v>
      </c>
      <c r="N65">
        <v>-3.5</v>
      </c>
      <c r="O65" s="19">
        <f t="shared" si="1"/>
        <v>1</v>
      </c>
      <c r="Q65" s="32" t="s">
        <v>2</v>
      </c>
      <c r="R65" s="1" t="s">
        <v>1488</v>
      </c>
      <c r="S65" s="35">
        <v>2</v>
      </c>
      <c r="T65" s="36"/>
      <c r="U65" s="35">
        <v>4</v>
      </c>
      <c r="V65" s="26"/>
      <c r="W65" s="35">
        <v>4</v>
      </c>
      <c r="X65" s="26"/>
    </row>
    <row r="66" spans="1:24" x14ac:dyDescent="0.25">
      <c r="A66" s="39"/>
      <c r="B66" s="41"/>
      <c r="C66" t="s">
        <v>1036</v>
      </c>
      <c r="D66" t="s">
        <v>271</v>
      </c>
      <c r="E66" s="3">
        <f t="shared" ref="E66:E129" si="2">IF(D66="Muito Fraca", 1, IF(D66="Fraca", 2, IF(D66="Boa", 3, 4)))</f>
        <v>2</v>
      </c>
      <c r="F66">
        <v>45.6</v>
      </c>
      <c r="G66">
        <v>4</v>
      </c>
      <c r="H66">
        <v>13.73</v>
      </c>
      <c r="I66">
        <v>5.23</v>
      </c>
      <c r="J66">
        <v>2.23</v>
      </c>
      <c r="K66">
        <v>2</v>
      </c>
      <c r="L66">
        <v>7.95</v>
      </c>
      <c r="M66">
        <v>-0.55000000000000004</v>
      </c>
      <c r="N66">
        <v>-3.55</v>
      </c>
      <c r="O66" s="19">
        <f t="shared" si="1"/>
        <v>1</v>
      </c>
      <c r="Q66" s="33"/>
      <c r="R66" s="1" t="s">
        <v>1512</v>
      </c>
      <c r="S66" s="35">
        <v>2</v>
      </c>
      <c r="T66" s="36"/>
      <c r="U66" s="35">
        <v>4</v>
      </c>
      <c r="V66" s="26"/>
      <c r="W66" s="35">
        <v>4</v>
      </c>
      <c r="X66" s="26"/>
    </row>
    <row r="67" spans="1:24" x14ac:dyDescent="0.25">
      <c r="A67" s="39"/>
      <c r="B67" s="41"/>
      <c r="C67" t="s">
        <v>1037</v>
      </c>
      <c r="D67" t="s">
        <v>271</v>
      </c>
      <c r="E67" s="3">
        <f t="shared" si="2"/>
        <v>2</v>
      </c>
      <c r="F67">
        <v>45.6</v>
      </c>
      <c r="G67">
        <v>4</v>
      </c>
      <c r="H67">
        <v>13.73</v>
      </c>
      <c r="I67">
        <v>5.23</v>
      </c>
      <c r="J67">
        <v>2.23</v>
      </c>
      <c r="K67">
        <v>2</v>
      </c>
      <c r="L67">
        <v>8</v>
      </c>
      <c r="M67">
        <v>-0.5</v>
      </c>
      <c r="N67">
        <v>-3.5</v>
      </c>
      <c r="O67" s="19">
        <f t="shared" ref="O67:O130" si="3">E67/K67</f>
        <v>1</v>
      </c>
      <c r="Q67" s="34"/>
      <c r="R67" s="1" t="s">
        <v>1463</v>
      </c>
      <c r="S67" s="35">
        <v>4</v>
      </c>
      <c r="T67" s="36"/>
      <c r="U67" s="35">
        <v>4</v>
      </c>
      <c r="V67" s="26"/>
      <c r="W67" s="35">
        <v>4</v>
      </c>
      <c r="X67" s="26"/>
    </row>
    <row r="68" spans="1:24" x14ac:dyDescent="0.25">
      <c r="A68" s="39"/>
      <c r="B68" s="41"/>
      <c r="C68" t="s">
        <v>1038</v>
      </c>
      <c r="D68" t="s">
        <v>271</v>
      </c>
      <c r="E68" s="3">
        <f t="shared" si="2"/>
        <v>2</v>
      </c>
      <c r="F68">
        <v>45.6</v>
      </c>
      <c r="G68">
        <v>4</v>
      </c>
      <c r="H68">
        <v>13.73</v>
      </c>
      <c r="I68">
        <v>5.23</v>
      </c>
      <c r="J68">
        <v>2.23</v>
      </c>
      <c r="K68">
        <v>2</v>
      </c>
      <c r="L68">
        <v>8</v>
      </c>
      <c r="M68">
        <v>-0.5</v>
      </c>
      <c r="N68">
        <v>-3.5</v>
      </c>
      <c r="O68" s="19">
        <f t="shared" si="3"/>
        <v>1</v>
      </c>
      <c r="Q68" s="32" t="s">
        <v>1491</v>
      </c>
      <c r="R68" s="1" t="s">
        <v>1488</v>
      </c>
      <c r="S68" s="35">
        <v>2</v>
      </c>
      <c r="T68" s="36"/>
      <c r="U68" s="35">
        <v>4</v>
      </c>
      <c r="V68" s="26"/>
      <c r="W68" s="35">
        <v>4</v>
      </c>
      <c r="X68" s="26"/>
    </row>
    <row r="69" spans="1:24" x14ac:dyDescent="0.25">
      <c r="A69" s="39"/>
      <c r="B69" s="41"/>
      <c r="C69" t="s">
        <v>1039</v>
      </c>
      <c r="D69" t="s">
        <v>271</v>
      </c>
      <c r="E69" s="3">
        <f t="shared" si="2"/>
        <v>2</v>
      </c>
      <c r="F69">
        <v>45.6</v>
      </c>
      <c r="G69">
        <v>4</v>
      </c>
      <c r="H69">
        <v>13.73</v>
      </c>
      <c r="I69">
        <v>5.23</v>
      </c>
      <c r="J69">
        <v>2.23</v>
      </c>
      <c r="K69">
        <v>2</v>
      </c>
      <c r="L69">
        <v>8</v>
      </c>
      <c r="M69">
        <v>-0.5</v>
      </c>
      <c r="N69">
        <v>-3.5</v>
      </c>
      <c r="O69" s="19">
        <f t="shared" si="3"/>
        <v>1</v>
      </c>
      <c r="Q69" s="33"/>
      <c r="R69" s="1" t="s">
        <v>1512</v>
      </c>
      <c r="S69" s="35">
        <v>2</v>
      </c>
      <c r="T69" s="36"/>
      <c r="U69" s="35">
        <v>4</v>
      </c>
      <c r="V69" s="26"/>
      <c r="W69" s="35">
        <v>4</v>
      </c>
      <c r="X69" s="26"/>
    </row>
    <row r="70" spans="1:24" x14ac:dyDescent="0.25">
      <c r="A70" s="39"/>
      <c r="B70" s="41"/>
      <c r="C70" t="s">
        <v>1040</v>
      </c>
      <c r="D70" t="s">
        <v>271</v>
      </c>
      <c r="E70" s="3">
        <f t="shared" si="2"/>
        <v>2</v>
      </c>
      <c r="F70">
        <v>45.6</v>
      </c>
      <c r="G70">
        <v>4</v>
      </c>
      <c r="H70">
        <v>13.73</v>
      </c>
      <c r="I70">
        <v>5.23</v>
      </c>
      <c r="J70">
        <v>2.23</v>
      </c>
      <c r="K70">
        <v>2</v>
      </c>
      <c r="L70">
        <v>8</v>
      </c>
      <c r="M70">
        <v>-0.5</v>
      </c>
      <c r="N70">
        <v>-3.5</v>
      </c>
      <c r="O70" s="19">
        <f t="shared" si="3"/>
        <v>1</v>
      </c>
      <c r="Q70" s="34"/>
      <c r="R70" s="1" t="s">
        <v>1463</v>
      </c>
      <c r="S70" s="35">
        <v>4</v>
      </c>
      <c r="T70" s="36"/>
      <c r="U70" s="35">
        <v>4</v>
      </c>
      <c r="V70" s="26"/>
      <c r="W70" s="35">
        <v>4</v>
      </c>
      <c r="X70" s="26"/>
    </row>
    <row r="71" spans="1:24" x14ac:dyDescent="0.25">
      <c r="A71" s="39"/>
      <c r="B71" s="41"/>
      <c r="C71" t="s">
        <v>1041</v>
      </c>
      <c r="D71" t="s">
        <v>271</v>
      </c>
      <c r="E71" s="3">
        <f t="shared" si="2"/>
        <v>2</v>
      </c>
      <c r="F71">
        <v>45.6</v>
      </c>
      <c r="G71">
        <v>4</v>
      </c>
      <c r="H71">
        <v>13.73</v>
      </c>
      <c r="I71">
        <v>5.23</v>
      </c>
      <c r="J71">
        <v>2.23</v>
      </c>
      <c r="K71">
        <v>2</v>
      </c>
      <c r="L71">
        <v>8</v>
      </c>
      <c r="M71">
        <v>-0.5</v>
      </c>
      <c r="N71">
        <v>-3.5</v>
      </c>
      <c r="O71" s="19">
        <f t="shared" si="3"/>
        <v>1</v>
      </c>
    </row>
    <row r="72" spans="1:24" x14ac:dyDescent="0.25">
      <c r="A72" s="39"/>
      <c r="B72" s="41"/>
      <c r="C72" t="s">
        <v>1042</v>
      </c>
      <c r="D72" t="s">
        <v>271</v>
      </c>
      <c r="E72" s="3">
        <f t="shared" si="2"/>
        <v>2</v>
      </c>
      <c r="F72">
        <v>45.6</v>
      </c>
      <c r="G72">
        <v>4</v>
      </c>
      <c r="H72">
        <v>13.73</v>
      </c>
      <c r="I72">
        <v>5.23</v>
      </c>
      <c r="J72">
        <v>2.23</v>
      </c>
      <c r="K72">
        <v>2</v>
      </c>
      <c r="L72">
        <v>8</v>
      </c>
      <c r="M72">
        <v>-0.5</v>
      </c>
      <c r="N72">
        <v>-3.5</v>
      </c>
      <c r="O72" s="19">
        <f t="shared" si="3"/>
        <v>1</v>
      </c>
      <c r="S72" s="30" t="s">
        <v>1460</v>
      </c>
      <c r="T72" s="30"/>
      <c r="U72" s="30" t="s">
        <v>1461</v>
      </c>
      <c r="V72" s="30"/>
      <c r="W72" s="30" t="s">
        <v>1462</v>
      </c>
      <c r="X72" s="30"/>
    </row>
    <row r="73" spans="1:24" ht="15" customHeight="1" x14ac:dyDescent="0.25">
      <c r="A73" s="39"/>
      <c r="B73" s="41"/>
      <c r="C73" t="s">
        <v>1043</v>
      </c>
      <c r="D73" t="s">
        <v>271</v>
      </c>
      <c r="E73" s="3">
        <f t="shared" si="2"/>
        <v>2</v>
      </c>
      <c r="F73">
        <v>45.6</v>
      </c>
      <c r="G73">
        <v>4</v>
      </c>
      <c r="H73">
        <v>13.73</v>
      </c>
      <c r="I73">
        <v>5.23</v>
      </c>
      <c r="J73">
        <v>2.23</v>
      </c>
      <c r="K73">
        <v>2</v>
      </c>
      <c r="L73">
        <v>8</v>
      </c>
      <c r="M73">
        <v>-0.5</v>
      </c>
      <c r="N73">
        <v>-3.5</v>
      </c>
      <c r="O73" s="19">
        <f t="shared" si="3"/>
        <v>1</v>
      </c>
      <c r="Q73" s="31" t="s">
        <v>0</v>
      </c>
      <c r="R73" s="1" t="s">
        <v>1493</v>
      </c>
      <c r="S73" s="24">
        <f>AVERAGE(L$2:L$21)</f>
        <v>7.8150000000000004</v>
      </c>
      <c r="T73" s="25"/>
      <c r="U73" s="24">
        <f>AVERAGE(L$22:L$41)</f>
        <v>11.5685</v>
      </c>
      <c r="V73" s="25"/>
      <c r="W73" s="24">
        <f>AVERAGE(L$42:L$61)</f>
        <v>15.655499999999998</v>
      </c>
      <c r="X73" s="25"/>
    </row>
    <row r="74" spans="1:24" x14ac:dyDescent="0.25">
      <c r="A74" s="39"/>
      <c r="B74" s="41"/>
      <c r="C74" t="s">
        <v>1044</v>
      </c>
      <c r="D74" t="s">
        <v>271</v>
      </c>
      <c r="E74" s="3">
        <f t="shared" si="2"/>
        <v>2</v>
      </c>
      <c r="F74">
        <v>45.6</v>
      </c>
      <c r="G74">
        <v>4</v>
      </c>
      <c r="H74">
        <v>13.73</v>
      </c>
      <c r="I74">
        <v>5.23</v>
      </c>
      <c r="J74">
        <v>2.23</v>
      </c>
      <c r="K74">
        <v>2</v>
      </c>
      <c r="L74">
        <v>8</v>
      </c>
      <c r="M74">
        <v>-0.5</v>
      </c>
      <c r="N74">
        <v>-3.5</v>
      </c>
      <c r="O74" s="19">
        <f t="shared" si="3"/>
        <v>1</v>
      </c>
      <c r="Q74" s="31"/>
      <c r="R74" s="1" t="s">
        <v>1467</v>
      </c>
      <c r="S74" s="24">
        <f>AVERAGE(M$2:M$21)</f>
        <v>-0.6845</v>
      </c>
      <c r="T74" s="25"/>
      <c r="U74" s="24">
        <f>AVERAGE(M$22:M$41)</f>
        <v>3.0695000000000006</v>
      </c>
      <c r="V74" s="25"/>
      <c r="W74" s="24">
        <f>AVERAGE(M$42:M$61)</f>
        <v>7.1555000000000009</v>
      </c>
      <c r="X74" s="25"/>
    </row>
    <row r="75" spans="1:24" x14ac:dyDescent="0.25">
      <c r="A75" s="39"/>
      <c r="B75" s="41"/>
      <c r="C75" t="s">
        <v>1045</v>
      </c>
      <c r="D75" t="s">
        <v>271</v>
      </c>
      <c r="E75" s="3">
        <f t="shared" si="2"/>
        <v>2</v>
      </c>
      <c r="F75">
        <v>45.6</v>
      </c>
      <c r="G75">
        <v>4</v>
      </c>
      <c r="H75">
        <v>13.73</v>
      </c>
      <c r="I75">
        <v>5.23</v>
      </c>
      <c r="J75">
        <v>2.23</v>
      </c>
      <c r="K75">
        <v>2</v>
      </c>
      <c r="L75">
        <v>8</v>
      </c>
      <c r="M75">
        <v>-0.5</v>
      </c>
      <c r="N75">
        <v>-3.5</v>
      </c>
      <c r="O75" s="19">
        <f t="shared" si="3"/>
        <v>1</v>
      </c>
      <c r="Q75" s="31"/>
      <c r="R75" s="1" t="s">
        <v>1468</v>
      </c>
      <c r="S75" s="24">
        <f>AVERAGE(N$2:N$21)</f>
        <v>-3.6844999999999999</v>
      </c>
      <c r="T75" s="25"/>
      <c r="U75" s="24">
        <f>AVERAGE(N$22:N$41)</f>
        <v>6.9500000000000006E-2</v>
      </c>
      <c r="V75" s="25"/>
      <c r="W75" s="24">
        <f>AVERAGE(N$42:N$61)</f>
        <v>4.1555</v>
      </c>
      <c r="X75" s="25"/>
    </row>
    <row r="76" spans="1:24" x14ac:dyDescent="0.25">
      <c r="A76" s="39"/>
      <c r="B76" s="41"/>
      <c r="C76" t="s">
        <v>1046</v>
      </c>
      <c r="D76" t="s">
        <v>271</v>
      </c>
      <c r="E76" s="3">
        <f t="shared" si="2"/>
        <v>2</v>
      </c>
      <c r="F76">
        <v>45.6</v>
      </c>
      <c r="G76">
        <v>4</v>
      </c>
      <c r="H76">
        <v>13.73</v>
      </c>
      <c r="I76">
        <v>5.23</v>
      </c>
      <c r="J76">
        <v>2.23</v>
      </c>
      <c r="K76">
        <v>2</v>
      </c>
      <c r="L76">
        <v>8</v>
      </c>
      <c r="M76">
        <v>-0.5</v>
      </c>
      <c r="N76">
        <v>-3.5</v>
      </c>
      <c r="O76" s="19">
        <f t="shared" si="3"/>
        <v>1</v>
      </c>
      <c r="Q76" s="31"/>
      <c r="R76" s="1" t="s">
        <v>1464</v>
      </c>
      <c r="S76" s="24">
        <f>AVERAGE(H$2:H$21)</f>
        <v>11.319999999999997</v>
      </c>
      <c r="T76" s="26"/>
      <c r="U76" s="24">
        <f>AVERAGE(H$22:H$41)</f>
        <v>16.98</v>
      </c>
      <c r="V76" s="25"/>
      <c r="W76" s="24">
        <f>AVERAGE(H$42:H$61)</f>
        <v>22.639999999999993</v>
      </c>
      <c r="X76" s="25"/>
    </row>
    <row r="77" spans="1:24" x14ac:dyDescent="0.25">
      <c r="A77" s="39"/>
      <c r="B77" s="41"/>
      <c r="C77" t="s">
        <v>1047</v>
      </c>
      <c r="D77" t="s">
        <v>271</v>
      </c>
      <c r="E77" s="3">
        <f t="shared" si="2"/>
        <v>2</v>
      </c>
      <c r="F77">
        <v>45.6</v>
      </c>
      <c r="G77">
        <v>4</v>
      </c>
      <c r="H77">
        <v>13.73</v>
      </c>
      <c r="I77">
        <v>5.23</v>
      </c>
      <c r="J77">
        <v>2.23</v>
      </c>
      <c r="K77">
        <v>2</v>
      </c>
      <c r="L77">
        <v>6.61</v>
      </c>
      <c r="M77">
        <v>-1.89</v>
      </c>
      <c r="N77">
        <v>-4.8899999999999997</v>
      </c>
      <c r="O77" s="19">
        <f t="shared" si="3"/>
        <v>1</v>
      </c>
      <c r="Q77" s="31"/>
      <c r="R77" s="1" t="s">
        <v>1465</v>
      </c>
      <c r="S77" s="24">
        <f>AVERAGE(I$2:I$21)</f>
        <v>2.82</v>
      </c>
      <c r="T77" s="26"/>
      <c r="U77" s="24">
        <f>AVERAGE(I$22:I$41)</f>
        <v>8.48</v>
      </c>
      <c r="V77" s="25"/>
      <c r="W77" s="24">
        <f>AVERAGE(I$42:I$61)</f>
        <v>14.139999999999995</v>
      </c>
      <c r="X77" s="25"/>
    </row>
    <row r="78" spans="1:24" x14ac:dyDescent="0.25">
      <c r="A78" s="39"/>
      <c r="B78" s="41"/>
      <c r="C78" t="s">
        <v>1048</v>
      </c>
      <c r="D78" t="s">
        <v>271</v>
      </c>
      <c r="E78" s="3">
        <f t="shared" si="2"/>
        <v>2</v>
      </c>
      <c r="F78">
        <v>45.6</v>
      </c>
      <c r="G78">
        <v>4</v>
      </c>
      <c r="H78">
        <v>13.73</v>
      </c>
      <c r="I78">
        <v>5.23</v>
      </c>
      <c r="J78">
        <v>2.23</v>
      </c>
      <c r="K78">
        <v>2</v>
      </c>
      <c r="L78">
        <v>8</v>
      </c>
      <c r="M78">
        <v>-0.5</v>
      </c>
      <c r="N78">
        <v>-3.5</v>
      </c>
      <c r="O78" s="19">
        <f t="shared" si="3"/>
        <v>1</v>
      </c>
      <c r="Q78" s="31"/>
      <c r="R78" s="1" t="s">
        <v>1466</v>
      </c>
      <c r="S78" s="24">
        <f>AVERAGE(J$2:J$21)</f>
        <v>-0.18000000000000005</v>
      </c>
      <c r="T78" s="26"/>
      <c r="U78" s="24">
        <f>AVERAGE(J$22:J$41)</f>
        <v>5.4800000000000022</v>
      </c>
      <c r="V78" s="25"/>
      <c r="W78" s="24">
        <f>AVERAGE(J$42:J$61)</f>
        <v>11.139999999999995</v>
      </c>
      <c r="X78" s="25"/>
    </row>
    <row r="79" spans="1:24" ht="15" customHeight="1" x14ac:dyDescent="0.25">
      <c r="A79" s="39"/>
      <c r="B79" s="41"/>
      <c r="C79" t="s">
        <v>1049</v>
      </c>
      <c r="D79" t="s">
        <v>271</v>
      </c>
      <c r="E79" s="3">
        <f t="shared" si="2"/>
        <v>2</v>
      </c>
      <c r="F79">
        <v>45.6</v>
      </c>
      <c r="G79">
        <v>4</v>
      </c>
      <c r="H79">
        <v>13.73</v>
      </c>
      <c r="I79">
        <v>5.23</v>
      </c>
      <c r="J79">
        <v>2.23</v>
      </c>
      <c r="K79">
        <v>2</v>
      </c>
      <c r="L79">
        <v>8</v>
      </c>
      <c r="M79">
        <v>-0.5</v>
      </c>
      <c r="N79">
        <v>-3.5</v>
      </c>
      <c r="O79" s="19">
        <f t="shared" si="3"/>
        <v>1</v>
      </c>
      <c r="Q79" s="29" t="s">
        <v>1</v>
      </c>
      <c r="R79" s="1" t="s">
        <v>1493</v>
      </c>
      <c r="S79" s="24">
        <f>AVERAGE(L$62:L$81)</f>
        <v>7.9090000000000007</v>
      </c>
      <c r="T79" s="25"/>
      <c r="U79" s="24">
        <f>AVERAGE(L$82:L$101)</f>
        <v>11.870499999999998</v>
      </c>
      <c r="V79" s="25"/>
      <c r="W79" s="24">
        <f>AVERAGE(L$102:L$121)</f>
        <v>15.653500000000003</v>
      </c>
      <c r="X79" s="25"/>
    </row>
    <row r="80" spans="1:24" x14ac:dyDescent="0.25">
      <c r="A80" s="39"/>
      <c r="B80" s="41"/>
      <c r="C80" t="s">
        <v>1050</v>
      </c>
      <c r="D80" t="s">
        <v>271</v>
      </c>
      <c r="E80" s="3">
        <f t="shared" si="2"/>
        <v>2</v>
      </c>
      <c r="F80">
        <v>45.6</v>
      </c>
      <c r="G80">
        <v>4</v>
      </c>
      <c r="H80">
        <v>13.73</v>
      </c>
      <c r="I80">
        <v>5.23</v>
      </c>
      <c r="J80">
        <v>2.23</v>
      </c>
      <c r="K80">
        <v>2</v>
      </c>
      <c r="L80">
        <v>8</v>
      </c>
      <c r="M80">
        <v>-0.5</v>
      </c>
      <c r="N80">
        <v>-3.5</v>
      </c>
      <c r="O80" s="19">
        <f t="shared" si="3"/>
        <v>1</v>
      </c>
      <c r="Q80" s="29"/>
      <c r="R80" s="1" t="s">
        <v>1467</v>
      </c>
      <c r="S80" s="24">
        <f>AVERAGE(M$62:M$81)</f>
        <v>-0.59099999999999997</v>
      </c>
      <c r="T80" s="25"/>
      <c r="U80" s="24">
        <f>AVERAGE(M$82:M$101)</f>
        <v>3.3704999999999998</v>
      </c>
      <c r="V80" s="25"/>
      <c r="W80" s="24">
        <f>AVERAGE(M$102:M$121)</f>
        <v>7.153999999999999</v>
      </c>
      <c r="X80" s="25"/>
    </row>
    <row r="81" spans="1:24" x14ac:dyDescent="0.25">
      <c r="A81" s="39"/>
      <c r="B81" s="42"/>
      <c r="C81" s="10" t="s">
        <v>1051</v>
      </c>
      <c r="D81" s="10" t="s">
        <v>271</v>
      </c>
      <c r="E81" s="11">
        <f t="shared" si="2"/>
        <v>2</v>
      </c>
      <c r="F81" s="10">
        <v>45.6</v>
      </c>
      <c r="G81" s="10">
        <v>4</v>
      </c>
      <c r="H81" s="10">
        <v>13.73</v>
      </c>
      <c r="I81" s="10">
        <v>5.23</v>
      </c>
      <c r="J81" s="10">
        <v>2.23</v>
      </c>
      <c r="K81" s="10">
        <v>2</v>
      </c>
      <c r="L81" s="10">
        <v>7.62</v>
      </c>
      <c r="M81" s="10">
        <v>-0.88</v>
      </c>
      <c r="N81" s="10">
        <v>-3.88</v>
      </c>
      <c r="O81" s="20">
        <f t="shared" si="3"/>
        <v>1</v>
      </c>
      <c r="Q81" s="29"/>
      <c r="R81" s="1" t="s">
        <v>1468</v>
      </c>
      <c r="S81" s="24">
        <f>AVERAGE(N$62:N$81)</f>
        <v>-3.5909999999999997</v>
      </c>
      <c r="T81" s="25"/>
      <c r="U81" s="24">
        <f>AVERAGE(N$82:N$101)</f>
        <v>0.3705</v>
      </c>
      <c r="V81" s="25"/>
      <c r="W81" s="24">
        <f>AVERAGE(N$102:N$121)</f>
        <v>4.1540000000000008</v>
      </c>
      <c r="X81" s="25"/>
    </row>
    <row r="82" spans="1:24" x14ac:dyDescent="0.25">
      <c r="A82" s="39"/>
      <c r="B82" s="40" t="s">
        <v>6</v>
      </c>
      <c r="C82" s="7" t="s">
        <v>1052</v>
      </c>
      <c r="D82" s="7" t="s">
        <v>181</v>
      </c>
      <c r="E82" s="8">
        <f t="shared" si="2"/>
        <v>4</v>
      </c>
      <c r="F82" s="7">
        <v>68.41</v>
      </c>
      <c r="G82" s="7">
        <v>4</v>
      </c>
      <c r="H82" s="7">
        <v>20.59</v>
      </c>
      <c r="I82" s="7">
        <v>12.09</v>
      </c>
      <c r="J82" s="7">
        <v>9.09</v>
      </c>
      <c r="K82" s="7">
        <v>4</v>
      </c>
      <c r="L82" s="7">
        <v>12</v>
      </c>
      <c r="M82" s="7">
        <v>3.5</v>
      </c>
      <c r="N82" s="7">
        <v>0.5</v>
      </c>
      <c r="O82" s="18">
        <f t="shared" si="3"/>
        <v>1</v>
      </c>
      <c r="Q82" s="29"/>
      <c r="R82" s="1" t="s">
        <v>1464</v>
      </c>
      <c r="S82" s="24">
        <f>AVERAGE(H$62:H$81)</f>
        <v>13.729999999999999</v>
      </c>
      <c r="T82" s="25"/>
      <c r="U82" s="24">
        <f>AVERAGE(H$82:H$101)</f>
        <v>20.589999999999993</v>
      </c>
      <c r="V82" s="25"/>
      <c r="W82" s="24">
        <f>AVERAGE(H$102:H$121)</f>
        <v>27.459999999999997</v>
      </c>
      <c r="X82" s="25"/>
    </row>
    <row r="83" spans="1:24" x14ac:dyDescent="0.25">
      <c r="A83" s="39"/>
      <c r="B83" s="41"/>
      <c r="C83" t="s">
        <v>1053</v>
      </c>
      <c r="D83" t="s">
        <v>181</v>
      </c>
      <c r="E83" s="3">
        <f t="shared" si="2"/>
        <v>4</v>
      </c>
      <c r="F83">
        <v>68.41</v>
      </c>
      <c r="G83">
        <v>4</v>
      </c>
      <c r="H83">
        <v>20.59</v>
      </c>
      <c r="I83">
        <v>12.09</v>
      </c>
      <c r="J83">
        <v>9.09</v>
      </c>
      <c r="K83">
        <v>4</v>
      </c>
      <c r="L83">
        <v>12</v>
      </c>
      <c r="M83">
        <v>3.5</v>
      </c>
      <c r="N83">
        <v>0.5</v>
      </c>
      <c r="O83" s="19">
        <f t="shared" si="3"/>
        <v>1</v>
      </c>
      <c r="Q83" s="29"/>
      <c r="R83" s="1" t="s">
        <v>1465</v>
      </c>
      <c r="S83" s="24">
        <f>AVERAGE(I$62:I$81)</f>
        <v>5.2300000000000022</v>
      </c>
      <c r="T83" s="25"/>
      <c r="U83" s="24">
        <f>AVERAGE(I$82:I$101)</f>
        <v>12.090000000000002</v>
      </c>
      <c r="V83" s="25"/>
      <c r="W83" s="24">
        <f>AVERAGE(I$102:I$121)</f>
        <v>18.959999999999997</v>
      </c>
      <c r="X83" s="25"/>
    </row>
    <row r="84" spans="1:24" x14ac:dyDescent="0.25">
      <c r="A84" s="39"/>
      <c r="B84" s="41"/>
      <c r="C84" t="s">
        <v>1054</v>
      </c>
      <c r="D84" t="s">
        <v>181</v>
      </c>
      <c r="E84" s="3">
        <f t="shared" si="2"/>
        <v>4</v>
      </c>
      <c r="F84">
        <v>68.41</v>
      </c>
      <c r="G84">
        <v>4</v>
      </c>
      <c r="H84">
        <v>20.59</v>
      </c>
      <c r="I84">
        <v>12.09</v>
      </c>
      <c r="J84">
        <v>9.09</v>
      </c>
      <c r="K84">
        <v>4</v>
      </c>
      <c r="L84">
        <v>12</v>
      </c>
      <c r="M84">
        <v>3.5</v>
      </c>
      <c r="N84">
        <v>0.5</v>
      </c>
      <c r="O84" s="19">
        <f t="shared" si="3"/>
        <v>1</v>
      </c>
      <c r="Q84" s="29"/>
      <c r="R84" s="1" t="s">
        <v>1466</v>
      </c>
      <c r="S84" s="24">
        <f>AVERAGE(J$62:J$81)</f>
        <v>2.2299999999999995</v>
      </c>
      <c r="T84" s="25"/>
      <c r="U84" s="24">
        <f>AVERAGE(J$82:J$101)</f>
        <v>9.0900000000000016</v>
      </c>
      <c r="V84" s="25"/>
      <c r="W84" s="24">
        <f>AVERAGE(J$102:J$121)</f>
        <v>15.960000000000003</v>
      </c>
      <c r="X84" s="25"/>
    </row>
    <row r="85" spans="1:24" ht="15" customHeight="1" x14ac:dyDescent="0.25">
      <c r="A85" s="39"/>
      <c r="B85" s="41"/>
      <c r="C85" t="s">
        <v>1055</v>
      </c>
      <c r="D85" t="s">
        <v>181</v>
      </c>
      <c r="E85" s="3">
        <f t="shared" si="2"/>
        <v>4</v>
      </c>
      <c r="F85">
        <v>68.41</v>
      </c>
      <c r="G85">
        <v>4</v>
      </c>
      <c r="H85">
        <v>20.59</v>
      </c>
      <c r="I85">
        <v>12.09</v>
      </c>
      <c r="J85">
        <v>9.09</v>
      </c>
      <c r="K85">
        <v>4</v>
      </c>
      <c r="L85">
        <v>12</v>
      </c>
      <c r="M85">
        <v>3.5</v>
      </c>
      <c r="N85">
        <v>0.5</v>
      </c>
      <c r="O85" s="19">
        <f t="shared" si="3"/>
        <v>1</v>
      </c>
      <c r="Q85" s="28" t="s">
        <v>2</v>
      </c>
      <c r="R85" s="1" t="s">
        <v>1493</v>
      </c>
      <c r="S85" s="24">
        <f>AVERAGE(L$122:L$141)</f>
        <v>7.9595000000000002</v>
      </c>
      <c r="T85" s="25"/>
      <c r="U85" s="24">
        <f>AVERAGE(L$142:L$161)</f>
        <v>11.782999999999999</v>
      </c>
      <c r="V85" s="25"/>
      <c r="W85" s="24">
        <f>AVERAGE(L$162:L$181)</f>
        <v>15.754</v>
      </c>
      <c r="X85" s="25"/>
    </row>
    <row r="86" spans="1:24" x14ac:dyDescent="0.25">
      <c r="A86" s="39"/>
      <c r="B86" s="41"/>
      <c r="C86" t="s">
        <v>1056</v>
      </c>
      <c r="D86" t="s">
        <v>181</v>
      </c>
      <c r="E86" s="3">
        <f t="shared" si="2"/>
        <v>4</v>
      </c>
      <c r="F86">
        <v>68.41</v>
      </c>
      <c r="G86">
        <v>4</v>
      </c>
      <c r="H86">
        <v>20.59</v>
      </c>
      <c r="I86">
        <v>12.09</v>
      </c>
      <c r="J86">
        <v>9.09</v>
      </c>
      <c r="K86">
        <v>4</v>
      </c>
      <c r="L86">
        <v>10.98</v>
      </c>
      <c r="M86">
        <v>2.48</v>
      </c>
      <c r="N86">
        <v>-0.52</v>
      </c>
      <c r="O86" s="19">
        <f t="shared" si="3"/>
        <v>1</v>
      </c>
      <c r="Q86" s="28"/>
      <c r="R86" s="1" t="s">
        <v>1467</v>
      </c>
      <c r="S86" s="24">
        <f>AVERAGE(M$122:M$141)</f>
        <v>-0.54049999999999998</v>
      </c>
      <c r="T86" s="25"/>
      <c r="U86" s="24">
        <f>AVERAGE(M$142:M$161)</f>
        <v>3.2834999999999992</v>
      </c>
      <c r="V86" s="25"/>
      <c r="W86" s="24">
        <f>AVERAGE(M$162:M$181)</f>
        <v>7.2549999999999999</v>
      </c>
      <c r="X86" s="25"/>
    </row>
    <row r="87" spans="1:24" x14ac:dyDescent="0.25">
      <c r="A87" s="39"/>
      <c r="B87" s="41"/>
      <c r="C87" t="s">
        <v>1057</v>
      </c>
      <c r="D87" t="s">
        <v>181</v>
      </c>
      <c r="E87" s="3">
        <f t="shared" si="2"/>
        <v>4</v>
      </c>
      <c r="F87">
        <v>68.41</v>
      </c>
      <c r="G87">
        <v>4</v>
      </c>
      <c r="H87">
        <v>20.59</v>
      </c>
      <c r="I87">
        <v>12.09</v>
      </c>
      <c r="J87">
        <v>9.09</v>
      </c>
      <c r="K87">
        <v>4</v>
      </c>
      <c r="L87">
        <v>11.91</v>
      </c>
      <c r="M87">
        <v>3.41</v>
      </c>
      <c r="N87">
        <v>0.41</v>
      </c>
      <c r="O87" s="19">
        <f t="shared" si="3"/>
        <v>1</v>
      </c>
      <c r="Q87" s="28"/>
      <c r="R87" s="1" t="s">
        <v>1468</v>
      </c>
      <c r="S87" s="24">
        <f>AVERAGE(N$122:N$141)</f>
        <v>-3.5405000000000002</v>
      </c>
      <c r="T87" s="25"/>
      <c r="U87" s="24">
        <f>AVERAGE(N$142:N$161)</f>
        <v>0.28349999999999997</v>
      </c>
      <c r="V87" s="25"/>
      <c r="W87" s="24">
        <f>AVERAGE(N$162:N$181)</f>
        <v>4.2549999999999999</v>
      </c>
      <c r="X87" s="25"/>
    </row>
    <row r="88" spans="1:24" x14ac:dyDescent="0.25">
      <c r="A88" s="39"/>
      <c r="B88" s="41"/>
      <c r="C88" t="s">
        <v>1058</v>
      </c>
      <c r="D88" t="s">
        <v>181</v>
      </c>
      <c r="E88" s="3">
        <f t="shared" si="2"/>
        <v>4</v>
      </c>
      <c r="F88">
        <v>68.41</v>
      </c>
      <c r="G88">
        <v>4</v>
      </c>
      <c r="H88">
        <v>20.59</v>
      </c>
      <c r="I88">
        <v>12.09</v>
      </c>
      <c r="J88">
        <v>9.09</v>
      </c>
      <c r="K88">
        <v>4</v>
      </c>
      <c r="L88">
        <v>12</v>
      </c>
      <c r="M88">
        <v>3.5</v>
      </c>
      <c r="N88">
        <v>0.5</v>
      </c>
      <c r="O88" s="19">
        <f t="shared" si="3"/>
        <v>1</v>
      </c>
      <c r="Q88" s="28"/>
      <c r="R88" s="1" t="s">
        <v>1464</v>
      </c>
      <c r="S88" s="24">
        <f>AVERAGE(H$122:H$141)</f>
        <v>14.864999999999995</v>
      </c>
      <c r="T88" s="25"/>
      <c r="U88" s="24">
        <f>AVERAGE(H$142:H$161)</f>
        <v>22.299999999999997</v>
      </c>
      <c r="V88" s="25"/>
      <c r="W88" s="24">
        <f>AVERAGE(H$162:H$181)</f>
        <v>29.735000000000003</v>
      </c>
      <c r="X88" s="25"/>
    </row>
    <row r="89" spans="1:24" x14ac:dyDescent="0.25">
      <c r="A89" s="39"/>
      <c r="B89" s="41"/>
      <c r="C89" t="s">
        <v>1059</v>
      </c>
      <c r="D89" t="s">
        <v>181</v>
      </c>
      <c r="E89" s="3">
        <f t="shared" si="2"/>
        <v>4</v>
      </c>
      <c r="F89">
        <v>68.41</v>
      </c>
      <c r="G89">
        <v>4</v>
      </c>
      <c r="H89">
        <v>20.59</v>
      </c>
      <c r="I89">
        <v>12.09</v>
      </c>
      <c r="J89">
        <v>9.09</v>
      </c>
      <c r="K89">
        <v>4</v>
      </c>
      <c r="L89">
        <v>11.51</v>
      </c>
      <c r="M89">
        <v>3.01</v>
      </c>
      <c r="N89">
        <v>0.01</v>
      </c>
      <c r="O89" s="19">
        <f t="shared" si="3"/>
        <v>1</v>
      </c>
      <c r="Q89" s="28"/>
      <c r="R89" s="1" t="s">
        <v>1465</v>
      </c>
      <c r="S89" s="24">
        <f>AVERAGE(I$122:I$141)</f>
        <v>6.3700000000000028</v>
      </c>
      <c r="T89" s="25"/>
      <c r="U89" s="24">
        <f>AVERAGE(I$142:I$161)</f>
        <v>13.799999999999997</v>
      </c>
      <c r="V89" s="25"/>
      <c r="W89" s="24">
        <f>AVERAGE(I$162:I$181)</f>
        <v>21.235000000000007</v>
      </c>
      <c r="X89" s="25"/>
    </row>
    <row r="90" spans="1:24" x14ac:dyDescent="0.25">
      <c r="A90" s="39"/>
      <c r="B90" s="41"/>
      <c r="C90" t="s">
        <v>1060</v>
      </c>
      <c r="D90" t="s">
        <v>181</v>
      </c>
      <c r="E90" s="3">
        <f t="shared" si="2"/>
        <v>4</v>
      </c>
      <c r="F90">
        <v>68.41</v>
      </c>
      <c r="G90">
        <v>4</v>
      </c>
      <c r="H90">
        <v>20.59</v>
      </c>
      <c r="I90">
        <v>12.09</v>
      </c>
      <c r="J90">
        <v>9.09</v>
      </c>
      <c r="K90">
        <v>4</v>
      </c>
      <c r="L90">
        <v>11.55</v>
      </c>
      <c r="M90">
        <v>3.05</v>
      </c>
      <c r="N90">
        <v>0.05</v>
      </c>
      <c r="O90" s="19">
        <f t="shared" si="3"/>
        <v>1</v>
      </c>
      <c r="Q90" s="28"/>
      <c r="R90" s="1" t="s">
        <v>1466</v>
      </c>
      <c r="S90" s="24">
        <f>AVERAGE(J$122:J$141)</f>
        <v>3.3699999999999997</v>
      </c>
      <c r="T90" s="25"/>
      <c r="U90" s="24">
        <f>AVERAGE(J$142:J$161)</f>
        <v>10.799999999999997</v>
      </c>
      <c r="V90" s="25"/>
      <c r="W90" s="24">
        <f>AVERAGE(J$162:J$181)</f>
        <v>18.235000000000007</v>
      </c>
      <c r="X90" s="25"/>
    </row>
    <row r="91" spans="1:24" ht="15" customHeight="1" x14ac:dyDescent="0.25">
      <c r="A91" s="39"/>
      <c r="B91" s="41"/>
      <c r="C91" t="s">
        <v>1061</v>
      </c>
      <c r="D91" t="s">
        <v>181</v>
      </c>
      <c r="E91" s="3">
        <f t="shared" si="2"/>
        <v>4</v>
      </c>
      <c r="F91">
        <v>68.41</v>
      </c>
      <c r="G91">
        <v>4</v>
      </c>
      <c r="H91">
        <v>20.59</v>
      </c>
      <c r="I91">
        <v>12.09</v>
      </c>
      <c r="J91">
        <v>9.09</v>
      </c>
      <c r="K91">
        <v>4</v>
      </c>
      <c r="L91">
        <v>11.81</v>
      </c>
      <c r="M91">
        <v>3.31</v>
      </c>
      <c r="N91">
        <v>0.31</v>
      </c>
      <c r="O91" s="19">
        <f t="shared" si="3"/>
        <v>1</v>
      </c>
      <c r="Q91" s="27" t="s">
        <v>1491</v>
      </c>
      <c r="R91" s="1" t="s">
        <v>1493</v>
      </c>
      <c r="S91" s="24">
        <f>AVERAGE(L$182:L$201)</f>
        <v>7.8805000000000005</v>
      </c>
      <c r="T91" s="25"/>
      <c r="U91" s="24">
        <f>AVERAGE(L$202:L$221)</f>
        <v>11.864000000000001</v>
      </c>
      <c r="V91" s="25"/>
      <c r="W91" s="24">
        <f>AVERAGE(L$222:L$241)</f>
        <v>15.928000000000001</v>
      </c>
      <c r="X91" s="25"/>
    </row>
    <row r="92" spans="1:24" x14ac:dyDescent="0.25">
      <c r="A92" s="39"/>
      <c r="B92" s="41"/>
      <c r="C92" t="s">
        <v>1062</v>
      </c>
      <c r="D92" t="s">
        <v>181</v>
      </c>
      <c r="E92" s="3">
        <f t="shared" si="2"/>
        <v>4</v>
      </c>
      <c r="F92">
        <v>68.41</v>
      </c>
      <c r="G92">
        <v>4</v>
      </c>
      <c r="H92">
        <v>20.59</v>
      </c>
      <c r="I92">
        <v>12.09</v>
      </c>
      <c r="J92">
        <v>9.09</v>
      </c>
      <c r="K92">
        <v>4</v>
      </c>
      <c r="L92">
        <v>12</v>
      </c>
      <c r="M92">
        <v>3.5</v>
      </c>
      <c r="N92">
        <v>0.5</v>
      </c>
      <c r="O92" s="19">
        <f t="shared" si="3"/>
        <v>1</v>
      </c>
      <c r="Q92" s="27"/>
      <c r="R92" s="1" t="s">
        <v>1467</v>
      </c>
      <c r="S92" s="24">
        <f>AVERAGE(M$182:M$201)</f>
        <v>-0.61850000000000005</v>
      </c>
      <c r="T92" s="25"/>
      <c r="U92" s="24">
        <f>AVERAGE(M$202:M$221)</f>
        <v>3.3650000000000007</v>
      </c>
      <c r="V92" s="25"/>
      <c r="W92" s="24">
        <f>AVERAGE(M$222:M$241)</f>
        <v>7.4279999999999999</v>
      </c>
      <c r="X92" s="25"/>
    </row>
    <row r="93" spans="1:24" x14ac:dyDescent="0.25">
      <c r="A93" s="39"/>
      <c r="B93" s="41"/>
      <c r="C93" t="s">
        <v>1063</v>
      </c>
      <c r="D93" t="s">
        <v>181</v>
      </c>
      <c r="E93" s="3">
        <f t="shared" si="2"/>
        <v>4</v>
      </c>
      <c r="F93">
        <v>68.41</v>
      </c>
      <c r="G93">
        <v>4</v>
      </c>
      <c r="H93">
        <v>20.59</v>
      </c>
      <c r="I93">
        <v>12.09</v>
      </c>
      <c r="J93">
        <v>9.09</v>
      </c>
      <c r="K93">
        <v>4</v>
      </c>
      <c r="L93">
        <v>12</v>
      </c>
      <c r="M93">
        <v>3.5</v>
      </c>
      <c r="N93">
        <v>0.5</v>
      </c>
      <c r="O93" s="19">
        <f t="shared" si="3"/>
        <v>1</v>
      </c>
      <c r="Q93" s="27"/>
      <c r="R93" s="1" t="s">
        <v>1468</v>
      </c>
      <c r="S93" s="24">
        <f>AVERAGE(N$182:N$201)</f>
        <v>-3.6185</v>
      </c>
      <c r="T93" s="25"/>
      <c r="U93" s="24">
        <f>AVERAGE(N$202:N$221)</f>
        <v>0.36499999999999994</v>
      </c>
      <c r="V93" s="25"/>
      <c r="W93" s="24">
        <f>AVERAGE(N$222:N$241)</f>
        <v>4.4279999999999999</v>
      </c>
      <c r="X93" s="25"/>
    </row>
    <row r="94" spans="1:24" x14ac:dyDescent="0.25">
      <c r="A94" s="39"/>
      <c r="B94" s="41"/>
      <c r="C94" t="s">
        <v>1064</v>
      </c>
      <c r="D94" t="s">
        <v>181</v>
      </c>
      <c r="E94" s="3">
        <f t="shared" si="2"/>
        <v>4</v>
      </c>
      <c r="F94">
        <v>68.41</v>
      </c>
      <c r="G94">
        <v>4</v>
      </c>
      <c r="H94">
        <v>20.59</v>
      </c>
      <c r="I94">
        <v>12.09</v>
      </c>
      <c r="J94">
        <v>9.09</v>
      </c>
      <c r="K94">
        <v>4</v>
      </c>
      <c r="L94">
        <v>12</v>
      </c>
      <c r="M94">
        <v>3.5</v>
      </c>
      <c r="N94">
        <v>0.5</v>
      </c>
      <c r="O94" s="19">
        <f t="shared" si="3"/>
        <v>1</v>
      </c>
      <c r="Q94" s="27"/>
      <c r="R94" s="1" t="s">
        <v>1464</v>
      </c>
      <c r="S94" s="24">
        <f>AVERAGE(H$182:H$201)</f>
        <v>15.789999999999997</v>
      </c>
      <c r="T94" s="25"/>
      <c r="U94" s="24">
        <f>AVERAGE(H$202:H$221)</f>
        <v>23.680000000000003</v>
      </c>
      <c r="V94" s="25"/>
      <c r="W94" s="24">
        <f>AVERAGE(H$222:H$241)</f>
        <v>31.570000000000004</v>
      </c>
      <c r="X94" s="25"/>
    </row>
    <row r="95" spans="1:24" x14ac:dyDescent="0.25">
      <c r="A95" s="39"/>
      <c r="B95" s="41"/>
      <c r="C95" t="s">
        <v>1065</v>
      </c>
      <c r="D95" t="s">
        <v>181</v>
      </c>
      <c r="E95" s="3">
        <f t="shared" si="2"/>
        <v>4</v>
      </c>
      <c r="F95">
        <v>68.41</v>
      </c>
      <c r="G95">
        <v>4</v>
      </c>
      <c r="H95">
        <v>20.59</v>
      </c>
      <c r="I95">
        <v>12.09</v>
      </c>
      <c r="J95">
        <v>9.09</v>
      </c>
      <c r="K95">
        <v>4</v>
      </c>
      <c r="L95">
        <v>11.67</v>
      </c>
      <c r="M95">
        <v>3.17</v>
      </c>
      <c r="N95">
        <v>0.17</v>
      </c>
      <c r="O95" s="19">
        <f t="shared" si="3"/>
        <v>1</v>
      </c>
      <c r="Q95" s="27"/>
      <c r="R95" s="1" t="s">
        <v>1465</v>
      </c>
      <c r="S95" s="24">
        <f>AVERAGE(I$182:I$201)</f>
        <v>7.2900000000000018</v>
      </c>
      <c r="T95" s="25"/>
      <c r="U95" s="24">
        <f>AVERAGE(I$202:I$221)</f>
        <v>15.180000000000003</v>
      </c>
      <c r="V95" s="25"/>
      <c r="W95" s="24">
        <f>AVERAGE(I$222:I$241)</f>
        <v>23.069999999999997</v>
      </c>
      <c r="X95" s="25"/>
    </row>
    <row r="96" spans="1:24" x14ac:dyDescent="0.25">
      <c r="A96" s="39"/>
      <c r="B96" s="41"/>
      <c r="C96" t="s">
        <v>1066</v>
      </c>
      <c r="D96" t="s">
        <v>181</v>
      </c>
      <c r="E96" s="3">
        <f t="shared" si="2"/>
        <v>4</v>
      </c>
      <c r="F96">
        <v>68.41</v>
      </c>
      <c r="G96">
        <v>4</v>
      </c>
      <c r="H96">
        <v>20.59</v>
      </c>
      <c r="I96">
        <v>12.09</v>
      </c>
      <c r="J96">
        <v>9.09</v>
      </c>
      <c r="K96">
        <v>4</v>
      </c>
      <c r="L96">
        <v>11.98</v>
      </c>
      <c r="M96">
        <v>3.48</v>
      </c>
      <c r="N96">
        <v>0.48</v>
      </c>
      <c r="O96" s="19">
        <f t="shared" si="3"/>
        <v>1</v>
      </c>
      <c r="Q96" s="27"/>
      <c r="R96" s="1" t="s">
        <v>1466</v>
      </c>
      <c r="S96" s="24">
        <f>AVERAGE(J$182:J$201)</f>
        <v>4.2900000000000009</v>
      </c>
      <c r="T96" s="25"/>
      <c r="U96" s="24">
        <f>AVERAGE(J$202:J$221)</f>
        <v>12.180000000000003</v>
      </c>
      <c r="V96" s="25"/>
      <c r="W96" s="24">
        <f>AVERAGE(J$222:J$241)</f>
        <v>20.069999999999997</v>
      </c>
      <c r="X96" s="25"/>
    </row>
    <row r="97" spans="1:24" x14ac:dyDescent="0.25">
      <c r="A97" s="39"/>
      <c r="B97" s="41"/>
      <c r="C97" t="s">
        <v>1067</v>
      </c>
      <c r="D97" t="s">
        <v>181</v>
      </c>
      <c r="E97" s="3">
        <f t="shared" si="2"/>
        <v>4</v>
      </c>
      <c r="F97">
        <v>68.41</v>
      </c>
      <c r="G97">
        <v>4</v>
      </c>
      <c r="H97">
        <v>20.59</v>
      </c>
      <c r="I97">
        <v>12.09</v>
      </c>
      <c r="J97">
        <v>9.09</v>
      </c>
      <c r="K97">
        <v>4</v>
      </c>
      <c r="L97">
        <v>12</v>
      </c>
      <c r="M97">
        <v>3.5</v>
      </c>
      <c r="N97">
        <v>0.5</v>
      </c>
      <c r="O97" s="19">
        <f t="shared" si="3"/>
        <v>1</v>
      </c>
    </row>
    <row r="98" spans="1:24" x14ac:dyDescent="0.25">
      <c r="A98" s="39"/>
      <c r="B98" s="41"/>
      <c r="C98" t="s">
        <v>1068</v>
      </c>
      <c r="D98" t="s">
        <v>181</v>
      </c>
      <c r="E98" s="3">
        <f t="shared" si="2"/>
        <v>4</v>
      </c>
      <c r="F98">
        <v>68.41</v>
      </c>
      <c r="G98">
        <v>4</v>
      </c>
      <c r="H98">
        <v>20.59</v>
      </c>
      <c r="I98">
        <v>12.09</v>
      </c>
      <c r="J98">
        <v>9.09</v>
      </c>
      <c r="K98">
        <v>4</v>
      </c>
      <c r="L98">
        <v>12</v>
      </c>
      <c r="M98">
        <v>3.5</v>
      </c>
      <c r="N98">
        <v>0.5</v>
      </c>
      <c r="O98" s="19">
        <f t="shared" si="3"/>
        <v>1</v>
      </c>
      <c r="R98" s="1"/>
      <c r="S98" s="30" t="s">
        <v>1460</v>
      </c>
      <c r="T98" s="30"/>
      <c r="U98" s="30" t="s">
        <v>1461</v>
      </c>
      <c r="V98" s="30"/>
      <c r="W98" s="30" t="s">
        <v>1462</v>
      </c>
      <c r="X98" s="30"/>
    </row>
    <row r="99" spans="1:24" x14ac:dyDescent="0.25">
      <c r="A99" s="39"/>
      <c r="B99" s="41"/>
      <c r="C99" t="s">
        <v>1069</v>
      </c>
      <c r="D99" t="s">
        <v>181</v>
      </c>
      <c r="E99" s="3">
        <f t="shared" si="2"/>
        <v>4</v>
      </c>
      <c r="F99">
        <v>68.41</v>
      </c>
      <c r="G99">
        <v>4</v>
      </c>
      <c r="H99">
        <v>20.59</v>
      </c>
      <c r="I99">
        <v>12.09</v>
      </c>
      <c r="J99">
        <v>9.09</v>
      </c>
      <c r="K99">
        <v>4</v>
      </c>
      <c r="L99">
        <v>12</v>
      </c>
      <c r="M99">
        <v>3.5</v>
      </c>
      <c r="N99">
        <v>0.5</v>
      </c>
      <c r="O99" s="19">
        <f t="shared" si="3"/>
        <v>1</v>
      </c>
      <c r="R99" s="1" t="s">
        <v>0</v>
      </c>
      <c r="S99" s="24">
        <f>AVERAGE(O$2:O$21)</f>
        <v>1</v>
      </c>
      <c r="T99" s="25"/>
      <c r="U99" s="24">
        <f>AVERAGE(O$22:O$41)</f>
        <v>1</v>
      </c>
      <c r="V99" s="25"/>
      <c r="W99" s="24">
        <f>AVERAGE(O$42:O$61)</f>
        <v>1</v>
      </c>
      <c r="X99" s="25"/>
    </row>
    <row r="100" spans="1:24" x14ac:dyDescent="0.25">
      <c r="A100" s="39"/>
      <c r="B100" s="41"/>
      <c r="C100" t="s">
        <v>1070</v>
      </c>
      <c r="D100" t="s">
        <v>181</v>
      </c>
      <c r="E100" s="3">
        <f t="shared" si="2"/>
        <v>4</v>
      </c>
      <c r="F100">
        <v>68.41</v>
      </c>
      <c r="G100">
        <v>4</v>
      </c>
      <c r="H100">
        <v>20.59</v>
      </c>
      <c r="I100">
        <v>12.09</v>
      </c>
      <c r="J100">
        <v>9.09</v>
      </c>
      <c r="K100">
        <v>4</v>
      </c>
      <c r="L100">
        <v>12</v>
      </c>
      <c r="M100">
        <v>3.5</v>
      </c>
      <c r="N100">
        <v>0.5</v>
      </c>
      <c r="O100" s="19">
        <f t="shared" si="3"/>
        <v>1</v>
      </c>
      <c r="R100" s="1" t="s">
        <v>1</v>
      </c>
      <c r="S100" s="24">
        <f>AVERAGE(O$62:O$81)</f>
        <v>1</v>
      </c>
      <c r="T100" s="25"/>
      <c r="U100" s="24">
        <f>AVERAGE(O$82:O$101)</f>
        <v>1</v>
      </c>
      <c r="V100" s="25"/>
      <c r="W100" s="24">
        <f>AVERAGE(O$102:O$121)</f>
        <v>1</v>
      </c>
      <c r="X100" s="25"/>
    </row>
    <row r="101" spans="1:24" x14ac:dyDescent="0.25">
      <c r="A101" s="39"/>
      <c r="B101" s="42"/>
      <c r="C101" s="10" t="s">
        <v>1071</v>
      </c>
      <c r="D101" s="10" t="s">
        <v>181</v>
      </c>
      <c r="E101" s="11">
        <f t="shared" si="2"/>
        <v>4</v>
      </c>
      <c r="F101" s="10">
        <v>68.41</v>
      </c>
      <c r="G101" s="10">
        <v>4</v>
      </c>
      <c r="H101" s="10">
        <v>20.59</v>
      </c>
      <c r="I101" s="10">
        <v>12.09</v>
      </c>
      <c r="J101" s="10">
        <v>9.09</v>
      </c>
      <c r="K101" s="10">
        <v>4</v>
      </c>
      <c r="L101" s="10">
        <v>12</v>
      </c>
      <c r="M101" s="10">
        <v>3.5</v>
      </c>
      <c r="N101" s="10">
        <v>0.5</v>
      </c>
      <c r="O101" s="20">
        <f t="shared" si="3"/>
        <v>1</v>
      </c>
      <c r="R101" s="1" t="s">
        <v>2</v>
      </c>
      <c r="S101" s="24">
        <f>AVERAGE(O$122:O$141)</f>
        <v>1</v>
      </c>
      <c r="T101" s="25"/>
      <c r="U101" s="24">
        <f>AVERAGE(O$142:O$161)</f>
        <v>1</v>
      </c>
      <c r="V101" s="25"/>
      <c r="W101" s="24">
        <f>AVERAGE(O$162:O$181)</f>
        <v>1</v>
      </c>
      <c r="X101" s="25"/>
    </row>
    <row r="102" spans="1:24" x14ac:dyDescent="0.25">
      <c r="A102" s="39"/>
      <c r="B102" s="40" t="s">
        <v>5</v>
      </c>
      <c r="C102" s="7" t="s">
        <v>1072</v>
      </c>
      <c r="D102" s="7" t="s">
        <v>181</v>
      </c>
      <c r="E102" s="8">
        <f t="shared" si="2"/>
        <v>4</v>
      </c>
      <c r="F102" s="7">
        <v>91.21</v>
      </c>
      <c r="G102" s="7">
        <v>4</v>
      </c>
      <c r="H102" s="7">
        <v>27.46</v>
      </c>
      <c r="I102" s="7">
        <v>18.96</v>
      </c>
      <c r="J102" s="7">
        <v>15.96</v>
      </c>
      <c r="K102" s="7">
        <v>4</v>
      </c>
      <c r="L102" s="7">
        <v>15</v>
      </c>
      <c r="M102" s="7">
        <v>6.5</v>
      </c>
      <c r="N102" s="7">
        <v>3.5</v>
      </c>
      <c r="O102" s="18">
        <f t="shared" si="3"/>
        <v>1</v>
      </c>
      <c r="R102" s="1" t="s">
        <v>1491</v>
      </c>
      <c r="S102" s="24">
        <f>AVERAGE(O$182:O$201)</f>
        <v>1</v>
      </c>
      <c r="T102" s="25"/>
      <c r="U102" s="24">
        <f>AVERAGE(O$202:O$221)</f>
        <v>1</v>
      </c>
      <c r="V102" s="25"/>
      <c r="W102" s="24">
        <f>AVERAGE(O$222:O$241)</f>
        <v>1</v>
      </c>
      <c r="X102" s="25"/>
    </row>
    <row r="103" spans="1:24" x14ac:dyDescent="0.25">
      <c r="A103" s="39"/>
      <c r="B103" s="41"/>
      <c r="C103" t="s">
        <v>1073</v>
      </c>
      <c r="D103" t="s">
        <v>181</v>
      </c>
      <c r="E103" s="3">
        <f t="shared" si="2"/>
        <v>4</v>
      </c>
      <c r="F103">
        <v>91.21</v>
      </c>
      <c r="G103">
        <v>4</v>
      </c>
      <c r="H103">
        <v>27.46</v>
      </c>
      <c r="I103">
        <v>18.96</v>
      </c>
      <c r="J103">
        <v>15.96</v>
      </c>
      <c r="K103">
        <v>4</v>
      </c>
      <c r="L103">
        <v>16</v>
      </c>
      <c r="M103">
        <v>7.5</v>
      </c>
      <c r="N103">
        <v>4.5</v>
      </c>
      <c r="O103" s="19">
        <f t="shared" si="3"/>
        <v>1</v>
      </c>
    </row>
    <row r="104" spans="1:24" x14ac:dyDescent="0.25">
      <c r="A104" s="39"/>
      <c r="B104" s="41"/>
      <c r="C104" t="s">
        <v>1074</v>
      </c>
      <c r="D104" t="s">
        <v>181</v>
      </c>
      <c r="E104" s="3">
        <f t="shared" si="2"/>
        <v>4</v>
      </c>
      <c r="F104">
        <v>91.21</v>
      </c>
      <c r="G104">
        <v>4</v>
      </c>
      <c r="H104">
        <v>27.46</v>
      </c>
      <c r="I104">
        <v>18.96</v>
      </c>
      <c r="J104">
        <v>15.96</v>
      </c>
      <c r="K104">
        <v>4</v>
      </c>
      <c r="L104">
        <v>16</v>
      </c>
      <c r="M104">
        <v>7.5</v>
      </c>
      <c r="N104">
        <v>4.5</v>
      </c>
      <c r="O104" s="19">
        <f t="shared" si="3"/>
        <v>1</v>
      </c>
    </row>
    <row r="105" spans="1:24" x14ac:dyDescent="0.25">
      <c r="A105" s="39"/>
      <c r="B105" s="41"/>
      <c r="C105" t="s">
        <v>1075</v>
      </c>
      <c r="D105" t="s">
        <v>181</v>
      </c>
      <c r="E105" s="3">
        <f t="shared" si="2"/>
        <v>4</v>
      </c>
      <c r="F105">
        <v>91.21</v>
      </c>
      <c r="G105">
        <v>4</v>
      </c>
      <c r="H105">
        <v>27.46</v>
      </c>
      <c r="I105">
        <v>18.96</v>
      </c>
      <c r="J105">
        <v>15.96</v>
      </c>
      <c r="K105">
        <v>4</v>
      </c>
      <c r="L105">
        <v>15.12</v>
      </c>
      <c r="M105">
        <v>6.63</v>
      </c>
      <c r="N105">
        <v>3.63</v>
      </c>
      <c r="O105" s="19">
        <f t="shared" si="3"/>
        <v>1</v>
      </c>
    </row>
    <row r="106" spans="1:24" x14ac:dyDescent="0.25">
      <c r="A106" s="39"/>
      <c r="B106" s="41"/>
      <c r="C106" t="s">
        <v>1076</v>
      </c>
      <c r="D106" t="s">
        <v>181</v>
      </c>
      <c r="E106" s="3">
        <f t="shared" si="2"/>
        <v>4</v>
      </c>
      <c r="F106">
        <v>91.21</v>
      </c>
      <c r="G106">
        <v>4</v>
      </c>
      <c r="H106">
        <v>27.46</v>
      </c>
      <c r="I106">
        <v>18.96</v>
      </c>
      <c r="J106">
        <v>15.96</v>
      </c>
      <c r="K106">
        <v>4</v>
      </c>
      <c r="L106">
        <v>15.69</v>
      </c>
      <c r="M106">
        <v>7.19</v>
      </c>
      <c r="N106">
        <v>4.1900000000000004</v>
      </c>
      <c r="O106" s="19">
        <f t="shared" si="3"/>
        <v>1</v>
      </c>
    </row>
    <row r="107" spans="1:24" x14ac:dyDescent="0.25">
      <c r="A107" s="39"/>
      <c r="B107" s="41"/>
      <c r="C107" t="s">
        <v>1077</v>
      </c>
      <c r="D107" t="s">
        <v>181</v>
      </c>
      <c r="E107" s="3">
        <f t="shared" si="2"/>
        <v>4</v>
      </c>
      <c r="F107">
        <v>91.21</v>
      </c>
      <c r="G107">
        <v>4</v>
      </c>
      <c r="H107">
        <v>27.46</v>
      </c>
      <c r="I107">
        <v>18.96</v>
      </c>
      <c r="J107">
        <v>15.96</v>
      </c>
      <c r="K107">
        <v>4</v>
      </c>
      <c r="L107">
        <v>15.54</v>
      </c>
      <c r="M107">
        <v>7.04</v>
      </c>
      <c r="N107">
        <v>4.04</v>
      </c>
      <c r="O107" s="19">
        <f t="shared" si="3"/>
        <v>1</v>
      </c>
    </row>
    <row r="108" spans="1:24" x14ac:dyDescent="0.25">
      <c r="A108" s="39"/>
      <c r="B108" s="41"/>
      <c r="C108" t="s">
        <v>1078</v>
      </c>
      <c r="D108" t="s">
        <v>181</v>
      </c>
      <c r="E108" s="3">
        <f t="shared" si="2"/>
        <v>4</v>
      </c>
      <c r="F108">
        <v>91.21</v>
      </c>
      <c r="G108">
        <v>4</v>
      </c>
      <c r="H108">
        <v>27.46</v>
      </c>
      <c r="I108">
        <v>18.96</v>
      </c>
      <c r="J108">
        <v>15.96</v>
      </c>
      <c r="K108">
        <v>4</v>
      </c>
      <c r="L108">
        <v>15.19</v>
      </c>
      <c r="M108">
        <v>6.69</v>
      </c>
      <c r="N108">
        <v>3.69</v>
      </c>
      <c r="O108" s="19">
        <f t="shared" si="3"/>
        <v>1</v>
      </c>
    </row>
    <row r="109" spans="1:24" x14ac:dyDescent="0.25">
      <c r="A109" s="39"/>
      <c r="B109" s="41"/>
      <c r="C109" t="s">
        <v>1079</v>
      </c>
      <c r="D109" t="s">
        <v>181</v>
      </c>
      <c r="E109" s="3">
        <f t="shared" si="2"/>
        <v>4</v>
      </c>
      <c r="F109">
        <v>91.21</v>
      </c>
      <c r="G109">
        <v>4</v>
      </c>
      <c r="H109">
        <v>27.46</v>
      </c>
      <c r="I109">
        <v>18.96</v>
      </c>
      <c r="J109">
        <v>15.96</v>
      </c>
      <c r="K109">
        <v>4</v>
      </c>
      <c r="L109">
        <v>15.66</v>
      </c>
      <c r="M109">
        <v>7.16</v>
      </c>
      <c r="N109">
        <v>4.16</v>
      </c>
      <c r="O109" s="19">
        <f t="shared" si="3"/>
        <v>1</v>
      </c>
    </row>
    <row r="110" spans="1:24" x14ac:dyDescent="0.25">
      <c r="A110" s="39"/>
      <c r="B110" s="41"/>
      <c r="C110" t="s">
        <v>1080</v>
      </c>
      <c r="D110" t="s">
        <v>181</v>
      </c>
      <c r="E110" s="3">
        <f t="shared" si="2"/>
        <v>4</v>
      </c>
      <c r="F110">
        <v>91.21</v>
      </c>
      <c r="G110">
        <v>4</v>
      </c>
      <c r="H110">
        <v>27.46</v>
      </c>
      <c r="I110">
        <v>18.96</v>
      </c>
      <c r="J110">
        <v>15.96</v>
      </c>
      <c r="K110">
        <v>4</v>
      </c>
      <c r="L110">
        <v>15.71</v>
      </c>
      <c r="M110">
        <v>7.21</v>
      </c>
      <c r="N110">
        <v>4.21</v>
      </c>
      <c r="O110" s="19">
        <f t="shared" si="3"/>
        <v>1</v>
      </c>
    </row>
    <row r="111" spans="1:24" x14ac:dyDescent="0.25">
      <c r="A111" s="39"/>
      <c r="B111" s="41"/>
      <c r="C111" t="s">
        <v>1081</v>
      </c>
      <c r="D111" t="s">
        <v>181</v>
      </c>
      <c r="E111" s="3">
        <f t="shared" si="2"/>
        <v>4</v>
      </c>
      <c r="F111">
        <v>91.21</v>
      </c>
      <c r="G111">
        <v>4</v>
      </c>
      <c r="H111">
        <v>27.46</v>
      </c>
      <c r="I111">
        <v>18.96</v>
      </c>
      <c r="J111">
        <v>15.96</v>
      </c>
      <c r="K111">
        <v>4</v>
      </c>
      <c r="L111">
        <v>15.18</v>
      </c>
      <c r="M111">
        <v>6.68</v>
      </c>
      <c r="N111">
        <v>3.68</v>
      </c>
      <c r="O111" s="19">
        <f t="shared" si="3"/>
        <v>1</v>
      </c>
    </row>
    <row r="112" spans="1:24" x14ac:dyDescent="0.25">
      <c r="A112" s="39"/>
      <c r="B112" s="41"/>
      <c r="C112" t="s">
        <v>1082</v>
      </c>
      <c r="D112" t="s">
        <v>181</v>
      </c>
      <c r="E112" s="3">
        <f t="shared" si="2"/>
        <v>4</v>
      </c>
      <c r="F112">
        <v>91.21</v>
      </c>
      <c r="G112">
        <v>4</v>
      </c>
      <c r="H112">
        <v>27.46</v>
      </c>
      <c r="I112">
        <v>18.96</v>
      </c>
      <c r="J112">
        <v>15.96</v>
      </c>
      <c r="K112">
        <v>4</v>
      </c>
      <c r="L112">
        <v>16</v>
      </c>
      <c r="M112">
        <v>7.5</v>
      </c>
      <c r="N112">
        <v>4.5</v>
      </c>
      <c r="O112" s="19">
        <f t="shared" si="3"/>
        <v>1</v>
      </c>
    </row>
    <row r="113" spans="1:15" x14ac:dyDescent="0.25">
      <c r="A113" s="39"/>
      <c r="B113" s="41"/>
      <c r="C113" t="s">
        <v>1083</v>
      </c>
      <c r="D113" t="s">
        <v>181</v>
      </c>
      <c r="E113" s="3">
        <f t="shared" si="2"/>
        <v>4</v>
      </c>
      <c r="F113">
        <v>91.21</v>
      </c>
      <c r="G113">
        <v>4</v>
      </c>
      <c r="H113">
        <v>27.46</v>
      </c>
      <c r="I113">
        <v>18.96</v>
      </c>
      <c r="J113">
        <v>15.96</v>
      </c>
      <c r="K113">
        <v>4</v>
      </c>
      <c r="L113">
        <v>16</v>
      </c>
      <c r="M113">
        <v>7.5</v>
      </c>
      <c r="N113">
        <v>4.5</v>
      </c>
      <c r="O113" s="19">
        <f t="shared" si="3"/>
        <v>1</v>
      </c>
    </row>
    <row r="114" spans="1:15" x14ac:dyDescent="0.25">
      <c r="A114" s="39"/>
      <c r="B114" s="41"/>
      <c r="C114" t="s">
        <v>1084</v>
      </c>
      <c r="D114" t="s">
        <v>181</v>
      </c>
      <c r="E114" s="3">
        <f t="shared" si="2"/>
        <v>4</v>
      </c>
      <c r="F114">
        <v>91.21</v>
      </c>
      <c r="G114">
        <v>4</v>
      </c>
      <c r="H114">
        <v>27.46</v>
      </c>
      <c r="I114">
        <v>18.96</v>
      </c>
      <c r="J114">
        <v>15.96</v>
      </c>
      <c r="K114">
        <v>4</v>
      </c>
      <c r="L114">
        <v>15.54</v>
      </c>
      <c r="M114">
        <v>7.04</v>
      </c>
      <c r="N114">
        <v>4.04</v>
      </c>
      <c r="O114" s="19">
        <f t="shared" si="3"/>
        <v>1</v>
      </c>
    </row>
    <row r="115" spans="1:15" x14ac:dyDescent="0.25">
      <c r="A115" s="39"/>
      <c r="B115" s="41"/>
      <c r="C115" t="s">
        <v>1085</v>
      </c>
      <c r="D115" t="s">
        <v>181</v>
      </c>
      <c r="E115" s="3">
        <f t="shared" si="2"/>
        <v>4</v>
      </c>
      <c r="F115">
        <v>91.21</v>
      </c>
      <c r="G115">
        <v>4</v>
      </c>
      <c r="H115">
        <v>27.46</v>
      </c>
      <c r="I115">
        <v>18.96</v>
      </c>
      <c r="J115">
        <v>15.96</v>
      </c>
      <c r="K115">
        <v>4</v>
      </c>
      <c r="L115">
        <v>16</v>
      </c>
      <c r="M115">
        <v>7.5</v>
      </c>
      <c r="N115">
        <v>4.5</v>
      </c>
      <c r="O115" s="19">
        <f t="shared" si="3"/>
        <v>1</v>
      </c>
    </row>
    <row r="116" spans="1:15" x14ac:dyDescent="0.25">
      <c r="A116" s="39"/>
      <c r="B116" s="41"/>
      <c r="C116" t="s">
        <v>1086</v>
      </c>
      <c r="D116" t="s">
        <v>181</v>
      </c>
      <c r="E116" s="3">
        <f t="shared" si="2"/>
        <v>4</v>
      </c>
      <c r="F116">
        <v>91.21</v>
      </c>
      <c r="G116">
        <v>4</v>
      </c>
      <c r="H116">
        <v>27.46</v>
      </c>
      <c r="I116">
        <v>18.96</v>
      </c>
      <c r="J116">
        <v>15.96</v>
      </c>
      <c r="K116">
        <v>4</v>
      </c>
      <c r="L116">
        <v>15.48</v>
      </c>
      <c r="M116">
        <v>6.98</v>
      </c>
      <c r="N116">
        <v>3.98</v>
      </c>
      <c r="O116" s="19">
        <f t="shared" si="3"/>
        <v>1</v>
      </c>
    </row>
    <row r="117" spans="1:15" x14ac:dyDescent="0.25">
      <c r="A117" s="39"/>
      <c r="B117" s="41"/>
      <c r="C117" t="s">
        <v>1087</v>
      </c>
      <c r="D117" t="s">
        <v>181</v>
      </c>
      <c r="E117" s="3">
        <f t="shared" si="2"/>
        <v>4</v>
      </c>
      <c r="F117">
        <v>91.21</v>
      </c>
      <c r="G117">
        <v>4</v>
      </c>
      <c r="H117">
        <v>27.46</v>
      </c>
      <c r="I117">
        <v>18.96</v>
      </c>
      <c r="J117">
        <v>15.96</v>
      </c>
      <c r="K117">
        <v>4</v>
      </c>
      <c r="L117">
        <v>16</v>
      </c>
      <c r="M117">
        <v>7.5</v>
      </c>
      <c r="N117">
        <v>4.5</v>
      </c>
      <c r="O117" s="19">
        <f t="shared" si="3"/>
        <v>1</v>
      </c>
    </row>
    <row r="118" spans="1:15" x14ac:dyDescent="0.25">
      <c r="A118" s="39"/>
      <c r="B118" s="41"/>
      <c r="C118" t="s">
        <v>1088</v>
      </c>
      <c r="D118" t="s">
        <v>181</v>
      </c>
      <c r="E118" s="3">
        <f t="shared" si="2"/>
        <v>4</v>
      </c>
      <c r="F118">
        <v>91.21</v>
      </c>
      <c r="G118">
        <v>4</v>
      </c>
      <c r="H118">
        <v>27.46</v>
      </c>
      <c r="I118">
        <v>18.96</v>
      </c>
      <c r="J118">
        <v>15.96</v>
      </c>
      <c r="K118">
        <v>4</v>
      </c>
      <c r="L118">
        <v>16</v>
      </c>
      <c r="M118">
        <v>7.5</v>
      </c>
      <c r="N118">
        <v>4.5</v>
      </c>
      <c r="O118" s="19">
        <f t="shared" si="3"/>
        <v>1</v>
      </c>
    </row>
    <row r="119" spans="1:15" x14ac:dyDescent="0.25">
      <c r="A119" s="39"/>
      <c r="B119" s="41"/>
      <c r="C119" t="s">
        <v>1089</v>
      </c>
      <c r="D119" t="s">
        <v>181</v>
      </c>
      <c r="E119" s="3">
        <f t="shared" si="2"/>
        <v>4</v>
      </c>
      <c r="F119">
        <v>91.21</v>
      </c>
      <c r="G119">
        <v>4</v>
      </c>
      <c r="H119">
        <v>27.46</v>
      </c>
      <c r="I119">
        <v>18.96</v>
      </c>
      <c r="J119">
        <v>15.96</v>
      </c>
      <c r="K119">
        <v>4</v>
      </c>
      <c r="L119">
        <v>16</v>
      </c>
      <c r="M119">
        <v>7.5</v>
      </c>
      <c r="N119">
        <v>4.5</v>
      </c>
      <c r="O119" s="19">
        <f t="shared" si="3"/>
        <v>1</v>
      </c>
    </row>
    <row r="120" spans="1:15" x14ac:dyDescent="0.25">
      <c r="A120" s="39"/>
      <c r="B120" s="41"/>
      <c r="C120" t="s">
        <v>1090</v>
      </c>
      <c r="D120" t="s">
        <v>181</v>
      </c>
      <c r="E120" s="3">
        <f t="shared" si="2"/>
        <v>4</v>
      </c>
      <c r="F120">
        <v>91.21</v>
      </c>
      <c r="G120">
        <v>4</v>
      </c>
      <c r="H120">
        <v>27.46</v>
      </c>
      <c r="I120">
        <v>18.96</v>
      </c>
      <c r="J120">
        <v>15.96</v>
      </c>
      <c r="K120">
        <v>4</v>
      </c>
      <c r="L120">
        <v>15.48</v>
      </c>
      <c r="M120">
        <v>6.98</v>
      </c>
      <c r="N120">
        <v>3.98</v>
      </c>
      <c r="O120" s="19">
        <f t="shared" si="3"/>
        <v>1</v>
      </c>
    </row>
    <row r="121" spans="1:15" x14ac:dyDescent="0.25">
      <c r="A121" s="39"/>
      <c r="B121" s="42"/>
      <c r="C121" s="10" t="s">
        <v>1091</v>
      </c>
      <c r="D121" s="10" t="s">
        <v>181</v>
      </c>
      <c r="E121" s="11">
        <f t="shared" si="2"/>
        <v>4</v>
      </c>
      <c r="F121" s="10">
        <v>91.21</v>
      </c>
      <c r="G121" s="10">
        <v>4</v>
      </c>
      <c r="H121" s="10">
        <v>27.46</v>
      </c>
      <c r="I121" s="10">
        <v>18.96</v>
      </c>
      <c r="J121" s="10">
        <v>15.96</v>
      </c>
      <c r="K121" s="10">
        <v>4</v>
      </c>
      <c r="L121" s="10">
        <v>15.48</v>
      </c>
      <c r="M121" s="10">
        <v>6.98</v>
      </c>
      <c r="N121" s="10">
        <v>3.98</v>
      </c>
      <c r="O121" s="20">
        <f t="shared" si="3"/>
        <v>1</v>
      </c>
    </row>
    <row r="122" spans="1:15" x14ac:dyDescent="0.25">
      <c r="A122" s="39" t="s">
        <v>2</v>
      </c>
      <c r="B122" s="40" t="s">
        <v>4</v>
      </c>
      <c r="C122" s="7" t="s">
        <v>1092</v>
      </c>
      <c r="D122" s="7" t="s">
        <v>271</v>
      </c>
      <c r="E122" s="8">
        <f t="shared" si="2"/>
        <v>2</v>
      </c>
      <c r="F122" s="7">
        <v>47.63</v>
      </c>
      <c r="G122" s="7">
        <v>4</v>
      </c>
      <c r="H122" s="7">
        <v>14.34</v>
      </c>
      <c r="I122" s="7">
        <v>5.84</v>
      </c>
      <c r="J122" s="7">
        <v>2.84</v>
      </c>
      <c r="K122" s="7">
        <v>2</v>
      </c>
      <c r="L122" s="7">
        <v>8</v>
      </c>
      <c r="M122" s="7">
        <v>-0.5</v>
      </c>
      <c r="N122" s="7">
        <v>-3.5</v>
      </c>
      <c r="O122" s="18">
        <f t="shared" si="3"/>
        <v>1</v>
      </c>
    </row>
    <row r="123" spans="1:15" x14ac:dyDescent="0.25">
      <c r="A123" s="39"/>
      <c r="B123" s="41"/>
      <c r="C123" t="s">
        <v>1093</v>
      </c>
      <c r="D123" t="s">
        <v>271</v>
      </c>
      <c r="E123" s="3">
        <f t="shared" si="2"/>
        <v>2</v>
      </c>
      <c r="F123">
        <v>47.63</v>
      </c>
      <c r="G123">
        <v>4</v>
      </c>
      <c r="H123">
        <v>14.34</v>
      </c>
      <c r="I123">
        <v>5.84</v>
      </c>
      <c r="J123">
        <v>2.84</v>
      </c>
      <c r="K123">
        <v>2</v>
      </c>
      <c r="L123">
        <v>8</v>
      </c>
      <c r="M123">
        <v>-0.5</v>
      </c>
      <c r="N123">
        <v>-3.5</v>
      </c>
      <c r="O123" s="19">
        <f t="shared" si="3"/>
        <v>1</v>
      </c>
    </row>
    <row r="124" spans="1:15" x14ac:dyDescent="0.25">
      <c r="A124" s="39"/>
      <c r="B124" s="41"/>
      <c r="C124" t="s">
        <v>1094</v>
      </c>
      <c r="D124" t="s">
        <v>271</v>
      </c>
      <c r="E124" s="3">
        <f t="shared" si="2"/>
        <v>2</v>
      </c>
      <c r="F124">
        <v>47.63</v>
      </c>
      <c r="G124">
        <v>4</v>
      </c>
      <c r="H124">
        <v>14.34</v>
      </c>
      <c r="I124">
        <v>5.84</v>
      </c>
      <c r="J124">
        <v>2.84</v>
      </c>
      <c r="K124">
        <v>2</v>
      </c>
      <c r="L124">
        <v>8</v>
      </c>
      <c r="M124">
        <v>-0.5</v>
      </c>
      <c r="N124">
        <v>-3.5</v>
      </c>
      <c r="O124" s="19">
        <f t="shared" si="3"/>
        <v>1</v>
      </c>
    </row>
    <row r="125" spans="1:15" x14ac:dyDescent="0.25">
      <c r="A125" s="39"/>
      <c r="B125" s="41"/>
      <c r="C125" t="s">
        <v>1095</v>
      </c>
      <c r="D125" t="s">
        <v>271</v>
      </c>
      <c r="E125" s="3">
        <f t="shared" si="2"/>
        <v>2</v>
      </c>
      <c r="F125">
        <v>47.63</v>
      </c>
      <c r="G125">
        <v>4</v>
      </c>
      <c r="H125">
        <v>14.34</v>
      </c>
      <c r="I125">
        <v>5.84</v>
      </c>
      <c r="J125">
        <v>2.84</v>
      </c>
      <c r="K125">
        <v>2</v>
      </c>
      <c r="L125">
        <v>8</v>
      </c>
      <c r="M125">
        <v>-0.5</v>
      </c>
      <c r="N125">
        <v>-3.5</v>
      </c>
      <c r="O125" s="19">
        <f t="shared" si="3"/>
        <v>1</v>
      </c>
    </row>
    <row r="126" spans="1:15" x14ac:dyDescent="0.25">
      <c r="A126" s="39"/>
      <c r="B126" s="41"/>
      <c r="C126" t="s">
        <v>1096</v>
      </c>
      <c r="D126" t="s">
        <v>271</v>
      </c>
      <c r="E126" s="3">
        <f t="shared" si="2"/>
        <v>2</v>
      </c>
      <c r="F126">
        <v>47.63</v>
      </c>
      <c r="G126">
        <v>4</v>
      </c>
      <c r="H126">
        <v>14.34</v>
      </c>
      <c r="I126">
        <v>5.84</v>
      </c>
      <c r="J126">
        <v>2.84</v>
      </c>
      <c r="K126">
        <v>2</v>
      </c>
      <c r="L126">
        <v>8</v>
      </c>
      <c r="M126">
        <v>-0.5</v>
      </c>
      <c r="N126">
        <v>-3.5</v>
      </c>
      <c r="O126" s="19">
        <f t="shared" si="3"/>
        <v>1</v>
      </c>
    </row>
    <row r="127" spans="1:15" x14ac:dyDescent="0.25">
      <c r="A127" s="39"/>
      <c r="B127" s="41"/>
      <c r="C127" t="s">
        <v>1097</v>
      </c>
      <c r="D127" t="s">
        <v>271</v>
      </c>
      <c r="E127" s="3">
        <f t="shared" si="2"/>
        <v>2</v>
      </c>
      <c r="F127">
        <v>47.63</v>
      </c>
      <c r="G127">
        <v>4</v>
      </c>
      <c r="H127">
        <v>14.34</v>
      </c>
      <c r="I127">
        <v>5.84</v>
      </c>
      <c r="J127">
        <v>2.84</v>
      </c>
      <c r="K127">
        <v>2</v>
      </c>
      <c r="L127">
        <v>7.19</v>
      </c>
      <c r="M127">
        <v>-1.31</v>
      </c>
      <c r="N127">
        <v>-4.3099999999999996</v>
      </c>
      <c r="O127" s="19">
        <f t="shared" si="3"/>
        <v>1</v>
      </c>
    </row>
    <row r="128" spans="1:15" x14ac:dyDescent="0.25">
      <c r="A128" s="39"/>
      <c r="B128" s="41"/>
      <c r="C128" t="s">
        <v>1098</v>
      </c>
      <c r="D128" t="s">
        <v>271</v>
      </c>
      <c r="E128" s="3">
        <f t="shared" si="2"/>
        <v>2</v>
      </c>
      <c r="F128">
        <v>47.63</v>
      </c>
      <c r="G128">
        <v>4</v>
      </c>
      <c r="H128">
        <v>14.34</v>
      </c>
      <c r="I128">
        <v>5.84</v>
      </c>
      <c r="J128">
        <v>2.84</v>
      </c>
      <c r="K128">
        <v>2</v>
      </c>
      <c r="L128">
        <v>8</v>
      </c>
      <c r="M128">
        <v>-0.5</v>
      </c>
      <c r="N128">
        <v>-3.5</v>
      </c>
      <c r="O128" s="19">
        <f t="shared" si="3"/>
        <v>1</v>
      </c>
    </row>
    <row r="129" spans="1:15" x14ac:dyDescent="0.25">
      <c r="A129" s="39"/>
      <c r="B129" s="41"/>
      <c r="C129" t="s">
        <v>1099</v>
      </c>
      <c r="D129" t="s">
        <v>271</v>
      </c>
      <c r="E129" s="3">
        <f t="shared" si="2"/>
        <v>2</v>
      </c>
      <c r="F129">
        <v>47.63</v>
      </c>
      <c r="G129">
        <v>4</v>
      </c>
      <c r="H129">
        <v>14.34</v>
      </c>
      <c r="I129">
        <v>5.84</v>
      </c>
      <c r="J129">
        <v>2.84</v>
      </c>
      <c r="K129">
        <v>2</v>
      </c>
      <c r="L129">
        <v>8</v>
      </c>
      <c r="M129">
        <v>-0.5</v>
      </c>
      <c r="N129">
        <v>-3.5</v>
      </c>
      <c r="O129" s="19">
        <f t="shared" si="3"/>
        <v>1</v>
      </c>
    </row>
    <row r="130" spans="1:15" x14ac:dyDescent="0.25">
      <c r="A130" s="39"/>
      <c r="B130" s="41"/>
      <c r="C130" t="s">
        <v>1100</v>
      </c>
      <c r="D130" t="s">
        <v>271</v>
      </c>
      <c r="E130" s="3">
        <f t="shared" ref="E130:E193" si="4">IF(D130="Muito Fraca", 1, IF(D130="Fraca", 2, IF(D130="Boa", 3, 4)))</f>
        <v>2</v>
      </c>
      <c r="F130">
        <v>47.63</v>
      </c>
      <c r="G130">
        <v>4</v>
      </c>
      <c r="H130">
        <v>14.34</v>
      </c>
      <c r="I130">
        <v>5.84</v>
      </c>
      <c r="J130">
        <v>2.84</v>
      </c>
      <c r="K130">
        <v>2</v>
      </c>
      <c r="L130">
        <v>8</v>
      </c>
      <c r="M130">
        <v>-0.5</v>
      </c>
      <c r="N130">
        <v>-3.5</v>
      </c>
      <c r="O130" s="19">
        <f t="shared" si="3"/>
        <v>1</v>
      </c>
    </row>
    <row r="131" spans="1:15" x14ac:dyDescent="0.25">
      <c r="A131" s="39"/>
      <c r="B131" s="41"/>
      <c r="C131" t="s">
        <v>1101</v>
      </c>
      <c r="D131" t="s">
        <v>271</v>
      </c>
      <c r="E131" s="3">
        <f t="shared" si="4"/>
        <v>2</v>
      </c>
      <c r="F131">
        <v>47.63</v>
      </c>
      <c r="G131">
        <v>4</v>
      </c>
      <c r="H131">
        <v>14.34</v>
      </c>
      <c r="I131">
        <v>5.84</v>
      </c>
      <c r="J131">
        <v>2.84</v>
      </c>
      <c r="K131">
        <v>2</v>
      </c>
      <c r="L131">
        <v>8</v>
      </c>
      <c r="M131">
        <v>-0.5</v>
      </c>
      <c r="N131">
        <v>-3.5</v>
      </c>
      <c r="O131" s="19">
        <f t="shared" ref="O131:O194" si="5">E131/K131</f>
        <v>1</v>
      </c>
    </row>
    <row r="132" spans="1:15" x14ac:dyDescent="0.25">
      <c r="A132" s="39"/>
      <c r="B132" s="41"/>
      <c r="C132" t="s">
        <v>1102</v>
      </c>
      <c r="D132" t="s">
        <v>271</v>
      </c>
      <c r="E132" s="3">
        <f t="shared" si="4"/>
        <v>2</v>
      </c>
      <c r="F132">
        <v>51.14</v>
      </c>
      <c r="G132">
        <v>4</v>
      </c>
      <c r="H132">
        <v>15.39</v>
      </c>
      <c r="I132">
        <v>6.9</v>
      </c>
      <c r="J132">
        <v>3.9</v>
      </c>
      <c r="K132">
        <v>2</v>
      </c>
      <c r="L132">
        <v>8</v>
      </c>
      <c r="M132">
        <v>-0.5</v>
      </c>
      <c r="N132">
        <v>-3.5</v>
      </c>
      <c r="O132" s="19">
        <f t="shared" si="5"/>
        <v>1</v>
      </c>
    </row>
    <row r="133" spans="1:15" x14ac:dyDescent="0.25">
      <c r="A133" s="39"/>
      <c r="B133" s="41"/>
      <c r="C133" t="s">
        <v>1103</v>
      </c>
      <c r="D133" t="s">
        <v>271</v>
      </c>
      <c r="E133" s="3">
        <f t="shared" si="4"/>
        <v>2</v>
      </c>
      <c r="F133">
        <v>51.14</v>
      </c>
      <c r="G133">
        <v>4</v>
      </c>
      <c r="H133">
        <v>15.39</v>
      </c>
      <c r="I133">
        <v>6.9</v>
      </c>
      <c r="J133">
        <v>3.9</v>
      </c>
      <c r="K133">
        <v>2</v>
      </c>
      <c r="L133">
        <v>8</v>
      </c>
      <c r="M133">
        <v>-0.5</v>
      </c>
      <c r="N133">
        <v>-3.5</v>
      </c>
      <c r="O133" s="19">
        <f t="shared" si="5"/>
        <v>1</v>
      </c>
    </row>
    <row r="134" spans="1:15" x14ac:dyDescent="0.25">
      <c r="A134" s="39"/>
      <c r="B134" s="41"/>
      <c r="C134" t="s">
        <v>1104</v>
      </c>
      <c r="D134" t="s">
        <v>271</v>
      </c>
      <c r="E134" s="3">
        <f t="shared" si="4"/>
        <v>2</v>
      </c>
      <c r="F134">
        <v>51.14</v>
      </c>
      <c r="G134">
        <v>4</v>
      </c>
      <c r="H134">
        <v>15.39</v>
      </c>
      <c r="I134">
        <v>6.9</v>
      </c>
      <c r="J134">
        <v>3.9</v>
      </c>
      <c r="K134">
        <v>2</v>
      </c>
      <c r="L134">
        <v>8</v>
      </c>
      <c r="M134">
        <v>-0.5</v>
      </c>
      <c r="N134">
        <v>-3.5</v>
      </c>
      <c r="O134" s="19">
        <f t="shared" si="5"/>
        <v>1</v>
      </c>
    </row>
    <row r="135" spans="1:15" x14ac:dyDescent="0.25">
      <c r="A135" s="39"/>
      <c r="B135" s="41"/>
      <c r="C135" t="s">
        <v>1105</v>
      </c>
      <c r="D135" t="s">
        <v>271</v>
      </c>
      <c r="E135" s="3">
        <f t="shared" si="4"/>
        <v>2</v>
      </c>
      <c r="F135">
        <v>51.14</v>
      </c>
      <c r="G135">
        <v>4</v>
      </c>
      <c r="H135">
        <v>15.39</v>
      </c>
      <c r="I135">
        <v>6.9</v>
      </c>
      <c r="J135">
        <v>3.9</v>
      </c>
      <c r="K135">
        <v>2</v>
      </c>
      <c r="L135">
        <v>8</v>
      </c>
      <c r="M135">
        <v>-0.5</v>
      </c>
      <c r="N135">
        <v>-3.5</v>
      </c>
      <c r="O135" s="19">
        <f t="shared" si="5"/>
        <v>1</v>
      </c>
    </row>
    <row r="136" spans="1:15" x14ac:dyDescent="0.25">
      <c r="A136" s="39"/>
      <c r="B136" s="41"/>
      <c r="C136" t="s">
        <v>1106</v>
      </c>
      <c r="D136" t="s">
        <v>271</v>
      </c>
      <c r="E136" s="3">
        <f t="shared" si="4"/>
        <v>2</v>
      </c>
      <c r="F136">
        <v>51.14</v>
      </c>
      <c r="G136">
        <v>4</v>
      </c>
      <c r="H136">
        <v>15.39</v>
      </c>
      <c r="I136">
        <v>6.9</v>
      </c>
      <c r="J136">
        <v>3.9</v>
      </c>
      <c r="K136">
        <v>2</v>
      </c>
      <c r="L136">
        <v>8</v>
      </c>
      <c r="M136">
        <v>-0.5</v>
      </c>
      <c r="N136">
        <v>-3.5</v>
      </c>
      <c r="O136" s="19">
        <f t="shared" si="5"/>
        <v>1</v>
      </c>
    </row>
    <row r="137" spans="1:15" x14ac:dyDescent="0.25">
      <c r="A137" s="39"/>
      <c r="B137" s="41"/>
      <c r="C137" t="s">
        <v>1107</v>
      </c>
      <c r="D137" t="s">
        <v>271</v>
      </c>
      <c r="E137" s="3">
        <f t="shared" si="4"/>
        <v>2</v>
      </c>
      <c r="F137">
        <v>51.14</v>
      </c>
      <c r="G137">
        <v>4</v>
      </c>
      <c r="H137">
        <v>15.39</v>
      </c>
      <c r="I137">
        <v>6.9</v>
      </c>
      <c r="J137">
        <v>3.9</v>
      </c>
      <c r="K137">
        <v>2</v>
      </c>
      <c r="L137">
        <v>8</v>
      </c>
      <c r="M137">
        <v>-0.5</v>
      </c>
      <c r="N137">
        <v>-3.5</v>
      </c>
      <c r="O137" s="19">
        <f t="shared" si="5"/>
        <v>1</v>
      </c>
    </row>
    <row r="138" spans="1:15" x14ac:dyDescent="0.25">
      <c r="A138" s="39"/>
      <c r="B138" s="41"/>
      <c r="C138" t="s">
        <v>1108</v>
      </c>
      <c r="D138" t="s">
        <v>271</v>
      </c>
      <c r="E138" s="3">
        <f t="shared" si="4"/>
        <v>2</v>
      </c>
      <c r="F138">
        <v>51.14</v>
      </c>
      <c r="G138">
        <v>4</v>
      </c>
      <c r="H138">
        <v>15.39</v>
      </c>
      <c r="I138">
        <v>6.9</v>
      </c>
      <c r="J138">
        <v>3.9</v>
      </c>
      <c r="K138">
        <v>2</v>
      </c>
      <c r="L138">
        <v>8</v>
      </c>
      <c r="M138">
        <v>-0.5</v>
      </c>
      <c r="N138">
        <v>-3.5</v>
      </c>
      <c r="O138" s="19">
        <f t="shared" si="5"/>
        <v>1</v>
      </c>
    </row>
    <row r="139" spans="1:15" x14ac:dyDescent="0.25">
      <c r="A139" s="39"/>
      <c r="B139" s="41"/>
      <c r="C139" t="s">
        <v>1109</v>
      </c>
      <c r="D139" t="s">
        <v>271</v>
      </c>
      <c r="E139" s="3">
        <f t="shared" si="4"/>
        <v>2</v>
      </c>
      <c r="F139">
        <v>51.14</v>
      </c>
      <c r="G139">
        <v>4</v>
      </c>
      <c r="H139">
        <v>15.39</v>
      </c>
      <c r="I139">
        <v>6.9</v>
      </c>
      <c r="J139">
        <v>3.9</v>
      </c>
      <c r="K139">
        <v>2</v>
      </c>
      <c r="L139">
        <v>8</v>
      </c>
      <c r="M139">
        <v>-0.5</v>
      </c>
      <c r="N139">
        <v>-3.5</v>
      </c>
      <c r="O139" s="19">
        <f t="shared" si="5"/>
        <v>1</v>
      </c>
    </row>
    <row r="140" spans="1:15" x14ac:dyDescent="0.25">
      <c r="A140" s="39"/>
      <c r="B140" s="41"/>
      <c r="C140" t="s">
        <v>1110</v>
      </c>
      <c r="D140" t="s">
        <v>271</v>
      </c>
      <c r="E140" s="3">
        <f t="shared" si="4"/>
        <v>2</v>
      </c>
      <c r="F140">
        <v>51.14</v>
      </c>
      <c r="G140">
        <v>4</v>
      </c>
      <c r="H140">
        <v>15.39</v>
      </c>
      <c r="I140">
        <v>6.9</v>
      </c>
      <c r="J140">
        <v>3.9</v>
      </c>
      <c r="K140">
        <v>2</v>
      </c>
      <c r="L140">
        <v>8</v>
      </c>
      <c r="M140">
        <v>-0.5</v>
      </c>
      <c r="N140">
        <v>-3.5</v>
      </c>
      <c r="O140" s="19">
        <f t="shared" si="5"/>
        <v>1</v>
      </c>
    </row>
    <row r="141" spans="1:15" x14ac:dyDescent="0.25">
      <c r="A141" s="39"/>
      <c r="B141" s="42"/>
      <c r="C141" s="10" t="s">
        <v>1111</v>
      </c>
      <c r="D141" s="10" t="s">
        <v>271</v>
      </c>
      <c r="E141" s="11">
        <f t="shared" si="4"/>
        <v>2</v>
      </c>
      <c r="F141" s="10">
        <v>51.14</v>
      </c>
      <c r="G141" s="10">
        <v>4</v>
      </c>
      <c r="H141" s="10">
        <v>15.39</v>
      </c>
      <c r="I141" s="10">
        <v>6.9</v>
      </c>
      <c r="J141" s="10">
        <v>3.9</v>
      </c>
      <c r="K141" s="10">
        <v>2</v>
      </c>
      <c r="L141" s="10">
        <v>8</v>
      </c>
      <c r="M141" s="10">
        <v>-0.5</v>
      </c>
      <c r="N141" s="10">
        <v>-3.5</v>
      </c>
      <c r="O141" s="20">
        <f t="shared" si="5"/>
        <v>1</v>
      </c>
    </row>
    <row r="142" spans="1:15" x14ac:dyDescent="0.25">
      <c r="A142" s="39"/>
      <c r="B142" s="40" t="s">
        <v>6</v>
      </c>
      <c r="C142" s="7" t="s">
        <v>1112</v>
      </c>
      <c r="D142" s="7" t="s">
        <v>181</v>
      </c>
      <c r="E142" s="8">
        <f t="shared" si="4"/>
        <v>4</v>
      </c>
      <c r="F142" s="7">
        <v>76.709999999999994</v>
      </c>
      <c r="G142" s="7">
        <v>4</v>
      </c>
      <c r="H142" s="7">
        <v>23.09</v>
      </c>
      <c r="I142" s="7">
        <v>14.59</v>
      </c>
      <c r="J142" s="7">
        <v>11.59</v>
      </c>
      <c r="K142" s="7">
        <v>4</v>
      </c>
      <c r="L142" s="7">
        <v>12</v>
      </c>
      <c r="M142" s="7">
        <v>3.5</v>
      </c>
      <c r="N142" s="7">
        <v>0.5</v>
      </c>
      <c r="O142" s="18">
        <f t="shared" si="5"/>
        <v>1</v>
      </c>
    </row>
    <row r="143" spans="1:15" x14ac:dyDescent="0.25">
      <c r="A143" s="39"/>
      <c r="B143" s="41"/>
      <c r="C143" t="s">
        <v>1113</v>
      </c>
      <c r="D143" t="s">
        <v>181</v>
      </c>
      <c r="E143" s="3">
        <f t="shared" si="4"/>
        <v>4</v>
      </c>
      <c r="F143">
        <v>76.709999999999994</v>
      </c>
      <c r="G143">
        <v>4</v>
      </c>
      <c r="H143">
        <v>23.09</v>
      </c>
      <c r="I143">
        <v>14.59</v>
      </c>
      <c r="J143">
        <v>11.59</v>
      </c>
      <c r="K143">
        <v>4</v>
      </c>
      <c r="L143">
        <v>12</v>
      </c>
      <c r="M143">
        <v>3.5</v>
      </c>
      <c r="N143">
        <v>0.5</v>
      </c>
      <c r="O143" s="19">
        <f t="shared" si="5"/>
        <v>1</v>
      </c>
    </row>
    <row r="144" spans="1:15" x14ac:dyDescent="0.25">
      <c r="A144" s="39"/>
      <c r="B144" s="41"/>
      <c r="C144" t="s">
        <v>1114</v>
      </c>
      <c r="D144" t="s">
        <v>181</v>
      </c>
      <c r="E144" s="3">
        <f t="shared" si="4"/>
        <v>4</v>
      </c>
      <c r="F144">
        <v>76.709999999999994</v>
      </c>
      <c r="G144">
        <v>4</v>
      </c>
      <c r="H144">
        <v>23.09</v>
      </c>
      <c r="I144">
        <v>14.59</v>
      </c>
      <c r="J144">
        <v>11.59</v>
      </c>
      <c r="K144">
        <v>4</v>
      </c>
      <c r="L144">
        <v>12</v>
      </c>
      <c r="M144">
        <v>3.5</v>
      </c>
      <c r="N144">
        <v>0.5</v>
      </c>
      <c r="O144" s="19">
        <f t="shared" si="5"/>
        <v>1</v>
      </c>
    </row>
    <row r="145" spans="1:15" x14ac:dyDescent="0.25">
      <c r="A145" s="39"/>
      <c r="B145" s="41"/>
      <c r="C145" t="s">
        <v>1115</v>
      </c>
      <c r="D145" t="s">
        <v>181</v>
      </c>
      <c r="E145" s="3">
        <f t="shared" si="4"/>
        <v>4</v>
      </c>
      <c r="F145">
        <v>76.709999999999994</v>
      </c>
      <c r="G145">
        <v>4</v>
      </c>
      <c r="H145">
        <v>23.09</v>
      </c>
      <c r="I145">
        <v>14.59</v>
      </c>
      <c r="J145">
        <v>11.59</v>
      </c>
      <c r="K145">
        <v>4</v>
      </c>
      <c r="L145">
        <v>12</v>
      </c>
      <c r="M145">
        <v>3.5</v>
      </c>
      <c r="N145">
        <v>0.5</v>
      </c>
      <c r="O145" s="19">
        <f t="shared" si="5"/>
        <v>1</v>
      </c>
    </row>
    <row r="146" spans="1:15" x14ac:dyDescent="0.25">
      <c r="A146" s="39"/>
      <c r="B146" s="41"/>
      <c r="C146" t="s">
        <v>1116</v>
      </c>
      <c r="D146" t="s">
        <v>181</v>
      </c>
      <c r="E146" s="3">
        <f t="shared" si="4"/>
        <v>4</v>
      </c>
      <c r="F146">
        <v>76.709999999999994</v>
      </c>
      <c r="G146">
        <v>4</v>
      </c>
      <c r="H146">
        <v>23.09</v>
      </c>
      <c r="I146">
        <v>14.59</v>
      </c>
      <c r="J146">
        <v>11.59</v>
      </c>
      <c r="K146">
        <v>4</v>
      </c>
      <c r="L146">
        <v>12</v>
      </c>
      <c r="M146">
        <v>3.5</v>
      </c>
      <c r="N146">
        <v>0.5</v>
      </c>
      <c r="O146" s="19">
        <f t="shared" si="5"/>
        <v>1</v>
      </c>
    </row>
    <row r="147" spans="1:15" x14ac:dyDescent="0.25">
      <c r="A147" s="39"/>
      <c r="B147" s="41"/>
      <c r="C147" t="s">
        <v>1117</v>
      </c>
      <c r="D147" t="s">
        <v>181</v>
      </c>
      <c r="E147" s="3">
        <f t="shared" si="4"/>
        <v>4</v>
      </c>
      <c r="F147">
        <v>76.709999999999994</v>
      </c>
      <c r="G147">
        <v>4</v>
      </c>
      <c r="H147">
        <v>23.09</v>
      </c>
      <c r="I147">
        <v>14.59</v>
      </c>
      <c r="J147">
        <v>11.59</v>
      </c>
      <c r="K147">
        <v>4</v>
      </c>
      <c r="L147">
        <v>11</v>
      </c>
      <c r="M147">
        <v>2.5</v>
      </c>
      <c r="N147">
        <v>-0.5</v>
      </c>
      <c r="O147" s="19">
        <f t="shared" si="5"/>
        <v>1</v>
      </c>
    </row>
    <row r="148" spans="1:15" x14ac:dyDescent="0.25">
      <c r="A148" s="39"/>
      <c r="B148" s="41"/>
      <c r="C148" t="s">
        <v>1118</v>
      </c>
      <c r="D148" t="s">
        <v>181</v>
      </c>
      <c r="E148" s="3">
        <f t="shared" si="4"/>
        <v>4</v>
      </c>
      <c r="F148">
        <v>76.709999999999994</v>
      </c>
      <c r="G148">
        <v>4</v>
      </c>
      <c r="H148">
        <v>23.09</v>
      </c>
      <c r="I148">
        <v>14.59</v>
      </c>
      <c r="J148">
        <v>11.59</v>
      </c>
      <c r="K148">
        <v>4</v>
      </c>
      <c r="L148">
        <v>11.46</v>
      </c>
      <c r="M148">
        <v>2.96</v>
      </c>
      <c r="N148">
        <v>-0.04</v>
      </c>
      <c r="O148" s="19">
        <f t="shared" si="5"/>
        <v>1</v>
      </c>
    </row>
    <row r="149" spans="1:15" x14ac:dyDescent="0.25">
      <c r="A149" s="39"/>
      <c r="B149" s="41"/>
      <c r="C149" t="s">
        <v>1119</v>
      </c>
      <c r="D149" t="s">
        <v>181</v>
      </c>
      <c r="E149" s="3">
        <f t="shared" si="4"/>
        <v>4</v>
      </c>
      <c r="F149">
        <v>76.709999999999994</v>
      </c>
      <c r="G149">
        <v>4</v>
      </c>
      <c r="H149">
        <v>23.09</v>
      </c>
      <c r="I149">
        <v>14.59</v>
      </c>
      <c r="J149">
        <v>11.59</v>
      </c>
      <c r="K149">
        <v>4</v>
      </c>
      <c r="L149">
        <v>12</v>
      </c>
      <c r="M149">
        <v>3.5</v>
      </c>
      <c r="N149">
        <v>0.5</v>
      </c>
      <c r="O149" s="19">
        <f t="shared" si="5"/>
        <v>1</v>
      </c>
    </row>
    <row r="150" spans="1:15" x14ac:dyDescent="0.25">
      <c r="A150" s="39"/>
      <c r="B150" s="41"/>
      <c r="C150" t="s">
        <v>1120</v>
      </c>
      <c r="D150" t="s">
        <v>181</v>
      </c>
      <c r="E150" s="3">
        <f t="shared" si="4"/>
        <v>4</v>
      </c>
      <c r="F150">
        <v>76.709999999999994</v>
      </c>
      <c r="G150">
        <v>4</v>
      </c>
      <c r="H150">
        <v>23.09</v>
      </c>
      <c r="I150">
        <v>14.59</v>
      </c>
      <c r="J150">
        <v>11.59</v>
      </c>
      <c r="K150">
        <v>4</v>
      </c>
      <c r="L150">
        <v>12</v>
      </c>
      <c r="M150">
        <v>3.5</v>
      </c>
      <c r="N150">
        <v>0.5</v>
      </c>
      <c r="O150" s="19">
        <f t="shared" si="5"/>
        <v>1</v>
      </c>
    </row>
    <row r="151" spans="1:15" x14ac:dyDescent="0.25">
      <c r="A151" s="39"/>
      <c r="B151" s="41"/>
      <c r="C151" t="s">
        <v>1121</v>
      </c>
      <c r="D151" t="s">
        <v>181</v>
      </c>
      <c r="E151" s="3">
        <f t="shared" si="4"/>
        <v>4</v>
      </c>
      <c r="F151">
        <v>76.709999999999994</v>
      </c>
      <c r="G151">
        <v>4</v>
      </c>
      <c r="H151">
        <v>23.09</v>
      </c>
      <c r="I151">
        <v>14.59</v>
      </c>
      <c r="J151">
        <v>11.59</v>
      </c>
      <c r="K151">
        <v>4</v>
      </c>
      <c r="L151">
        <v>12</v>
      </c>
      <c r="M151">
        <v>3.5</v>
      </c>
      <c r="N151">
        <v>0.5</v>
      </c>
      <c r="O151" s="19">
        <f t="shared" si="5"/>
        <v>1</v>
      </c>
    </row>
    <row r="152" spans="1:15" x14ac:dyDescent="0.25">
      <c r="A152" s="39"/>
      <c r="B152" s="41"/>
      <c r="C152" t="s">
        <v>1122</v>
      </c>
      <c r="D152" t="s">
        <v>181</v>
      </c>
      <c r="E152" s="3">
        <f t="shared" si="4"/>
        <v>4</v>
      </c>
      <c r="F152">
        <v>71.45</v>
      </c>
      <c r="G152">
        <v>4</v>
      </c>
      <c r="H152">
        <v>21.51</v>
      </c>
      <c r="I152">
        <v>13.01</v>
      </c>
      <c r="J152">
        <v>10.01</v>
      </c>
      <c r="K152">
        <v>4</v>
      </c>
      <c r="L152">
        <v>11.49</v>
      </c>
      <c r="M152">
        <v>3</v>
      </c>
      <c r="N152">
        <v>0</v>
      </c>
      <c r="O152" s="19">
        <f t="shared" si="5"/>
        <v>1</v>
      </c>
    </row>
    <row r="153" spans="1:15" x14ac:dyDescent="0.25">
      <c r="A153" s="39"/>
      <c r="B153" s="41"/>
      <c r="C153" t="s">
        <v>1123</v>
      </c>
      <c r="D153" t="s">
        <v>181</v>
      </c>
      <c r="E153" s="3">
        <f t="shared" si="4"/>
        <v>4</v>
      </c>
      <c r="F153">
        <v>71.45</v>
      </c>
      <c r="G153">
        <v>4</v>
      </c>
      <c r="H153">
        <v>21.51</v>
      </c>
      <c r="I153">
        <v>13.01</v>
      </c>
      <c r="J153">
        <v>10.01</v>
      </c>
      <c r="K153">
        <v>4</v>
      </c>
      <c r="L153">
        <v>12</v>
      </c>
      <c r="M153">
        <v>3.5</v>
      </c>
      <c r="N153">
        <v>0.5</v>
      </c>
      <c r="O153" s="19">
        <f t="shared" si="5"/>
        <v>1</v>
      </c>
    </row>
    <row r="154" spans="1:15" x14ac:dyDescent="0.25">
      <c r="A154" s="39"/>
      <c r="B154" s="41"/>
      <c r="C154" t="s">
        <v>1124</v>
      </c>
      <c r="D154" t="s">
        <v>181</v>
      </c>
      <c r="E154" s="3">
        <f t="shared" si="4"/>
        <v>4</v>
      </c>
      <c r="F154">
        <v>71.45</v>
      </c>
      <c r="G154">
        <v>4</v>
      </c>
      <c r="H154">
        <v>21.51</v>
      </c>
      <c r="I154">
        <v>13.01</v>
      </c>
      <c r="J154">
        <v>10.01</v>
      </c>
      <c r="K154">
        <v>4</v>
      </c>
      <c r="L154">
        <v>12</v>
      </c>
      <c r="M154">
        <v>3.5</v>
      </c>
      <c r="N154">
        <v>0.5</v>
      </c>
      <c r="O154" s="19">
        <f t="shared" si="5"/>
        <v>1</v>
      </c>
    </row>
    <row r="155" spans="1:15" x14ac:dyDescent="0.25">
      <c r="A155" s="39"/>
      <c r="B155" s="41"/>
      <c r="C155" t="s">
        <v>1125</v>
      </c>
      <c r="D155" t="s">
        <v>181</v>
      </c>
      <c r="E155" s="3">
        <f t="shared" si="4"/>
        <v>4</v>
      </c>
      <c r="F155">
        <v>71.45</v>
      </c>
      <c r="G155">
        <v>4</v>
      </c>
      <c r="H155">
        <v>21.51</v>
      </c>
      <c r="I155">
        <v>13.01</v>
      </c>
      <c r="J155">
        <v>10.01</v>
      </c>
      <c r="K155">
        <v>4</v>
      </c>
      <c r="L155">
        <v>12</v>
      </c>
      <c r="M155">
        <v>3.5</v>
      </c>
      <c r="N155">
        <v>0.5</v>
      </c>
      <c r="O155" s="19">
        <f t="shared" si="5"/>
        <v>1</v>
      </c>
    </row>
    <row r="156" spans="1:15" x14ac:dyDescent="0.25">
      <c r="A156" s="39"/>
      <c r="B156" s="41"/>
      <c r="C156" t="s">
        <v>1126</v>
      </c>
      <c r="D156" t="s">
        <v>181</v>
      </c>
      <c r="E156" s="3">
        <f t="shared" si="4"/>
        <v>4</v>
      </c>
      <c r="F156">
        <v>71.45</v>
      </c>
      <c r="G156">
        <v>4</v>
      </c>
      <c r="H156">
        <v>21.51</v>
      </c>
      <c r="I156">
        <v>13.01</v>
      </c>
      <c r="J156">
        <v>10.01</v>
      </c>
      <c r="K156">
        <v>4</v>
      </c>
      <c r="L156">
        <v>12</v>
      </c>
      <c r="M156">
        <v>3.5</v>
      </c>
      <c r="N156">
        <v>0.5</v>
      </c>
      <c r="O156" s="19">
        <f t="shared" si="5"/>
        <v>1</v>
      </c>
    </row>
    <row r="157" spans="1:15" x14ac:dyDescent="0.25">
      <c r="A157" s="39"/>
      <c r="B157" s="41"/>
      <c r="C157" t="s">
        <v>1127</v>
      </c>
      <c r="D157" t="s">
        <v>181</v>
      </c>
      <c r="E157" s="3">
        <f t="shared" si="4"/>
        <v>4</v>
      </c>
      <c r="F157">
        <v>71.45</v>
      </c>
      <c r="G157">
        <v>4</v>
      </c>
      <c r="H157">
        <v>21.51</v>
      </c>
      <c r="I157">
        <v>13.01</v>
      </c>
      <c r="J157">
        <v>10.01</v>
      </c>
      <c r="K157">
        <v>4</v>
      </c>
      <c r="L157">
        <v>11.09</v>
      </c>
      <c r="M157">
        <v>2.59</v>
      </c>
      <c r="N157">
        <v>-0.41</v>
      </c>
      <c r="O157" s="19">
        <f t="shared" si="5"/>
        <v>1</v>
      </c>
    </row>
    <row r="158" spans="1:15" x14ac:dyDescent="0.25">
      <c r="A158" s="39"/>
      <c r="B158" s="41"/>
      <c r="C158" t="s">
        <v>1128</v>
      </c>
      <c r="D158" t="s">
        <v>181</v>
      </c>
      <c r="E158" s="3">
        <f t="shared" si="4"/>
        <v>4</v>
      </c>
      <c r="F158">
        <v>71.45</v>
      </c>
      <c r="G158">
        <v>4</v>
      </c>
      <c r="H158">
        <v>21.51</v>
      </c>
      <c r="I158">
        <v>13.01</v>
      </c>
      <c r="J158">
        <v>10.01</v>
      </c>
      <c r="K158">
        <v>4</v>
      </c>
      <c r="L158">
        <v>12</v>
      </c>
      <c r="M158">
        <v>3.5</v>
      </c>
      <c r="N158">
        <v>0.5</v>
      </c>
      <c r="O158" s="19">
        <f t="shared" si="5"/>
        <v>1</v>
      </c>
    </row>
    <row r="159" spans="1:15" x14ac:dyDescent="0.25">
      <c r="A159" s="39"/>
      <c r="B159" s="41"/>
      <c r="C159" t="s">
        <v>1129</v>
      </c>
      <c r="D159" t="s">
        <v>181</v>
      </c>
      <c r="E159" s="3">
        <f t="shared" si="4"/>
        <v>4</v>
      </c>
      <c r="F159">
        <v>71.45</v>
      </c>
      <c r="G159">
        <v>4</v>
      </c>
      <c r="H159">
        <v>21.51</v>
      </c>
      <c r="I159">
        <v>13.01</v>
      </c>
      <c r="J159">
        <v>10.01</v>
      </c>
      <c r="K159">
        <v>4</v>
      </c>
      <c r="L159">
        <v>11.14</v>
      </c>
      <c r="M159">
        <v>2.64</v>
      </c>
      <c r="N159">
        <v>-0.36</v>
      </c>
      <c r="O159" s="19">
        <f t="shared" si="5"/>
        <v>1</v>
      </c>
    </row>
    <row r="160" spans="1:15" x14ac:dyDescent="0.25">
      <c r="A160" s="39"/>
      <c r="B160" s="41"/>
      <c r="C160" t="s">
        <v>1130</v>
      </c>
      <c r="D160" t="s">
        <v>181</v>
      </c>
      <c r="E160" s="3">
        <f t="shared" si="4"/>
        <v>4</v>
      </c>
      <c r="F160">
        <v>71.45</v>
      </c>
      <c r="G160">
        <v>4</v>
      </c>
      <c r="H160">
        <v>21.51</v>
      </c>
      <c r="I160">
        <v>13.01</v>
      </c>
      <c r="J160">
        <v>10.01</v>
      </c>
      <c r="K160">
        <v>4</v>
      </c>
      <c r="L160">
        <v>11.48</v>
      </c>
      <c r="M160">
        <v>2.98</v>
      </c>
      <c r="N160">
        <v>-0.02</v>
      </c>
      <c r="O160" s="19">
        <f t="shared" si="5"/>
        <v>1</v>
      </c>
    </row>
    <row r="161" spans="1:15" x14ac:dyDescent="0.25">
      <c r="A161" s="39"/>
      <c r="B161" s="42"/>
      <c r="C161" s="10" t="s">
        <v>1131</v>
      </c>
      <c r="D161" s="10" t="s">
        <v>181</v>
      </c>
      <c r="E161" s="11">
        <f t="shared" si="4"/>
        <v>4</v>
      </c>
      <c r="F161" s="10">
        <v>71.45</v>
      </c>
      <c r="G161" s="10">
        <v>4</v>
      </c>
      <c r="H161" s="10">
        <v>21.51</v>
      </c>
      <c r="I161" s="10">
        <v>13.01</v>
      </c>
      <c r="J161" s="10">
        <v>10.01</v>
      </c>
      <c r="K161" s="10">
        <v>4</v>
      </c>
      <c r="L161" s="10">
        <v>12</v>
      </c>
      <c r="M161" s="10">
        <v>3.5</v>
      </c>
      <c r="N161" s="10">
        <v>0.5</v>
      </c>
      <c r="O161" s="20">
        <f t="shared" si="5"/>
        <v>1</v>
      </c>
    </row>
    <row r="162" spans="1:15" x14ac:dyDescent="0.25">
      <c r="A162" s="39"/>
      <c r="B162" s="40" t="s">
        <v>5</v>
      </c>
      <c r="C162" s="7" t="s">
        <v>1132</v>
      </c>
      <c r="D162" s="7" t="s">
        <v>181</v>
      </c>
      <c r="E162" s="8">
        <f t="shared" si="4"/>
        <v>4</v>
      </c>
      <c r="F162" s="7">
        <v>95.27</v>
      </c>
      <c r="G162" s="7">
        <v>4</v>
      </c>
      <c r="H162" s="7">
        <v>28.68</v>
      </c>
      <c r="I162" s="7">
        <v>20.18</v>
      </c>
      <c r="J162" s="7">
        <v>17.18</v>
      </c>
      <c r="K162" s="7">
        <v>4</v>
      </c>
      <c r="L162" s="7">
        <v>16</v>
      </c>
      <c r="M162" s="7">
        <v>7.5</v>
      </c>
      <c r="N162" s="7">
        <v>4.5</v>
      </c>
      <c r="O162" s="18">
        <f t="shared" si="5"/>
        <v>1</v>
      </c>
    </row>
    <row r="163" spans="1:15" x14ac:dyDescent="0.25">
      <c r="A163" s="39"/>
      <c r="B163" s="41"/>
      <c r="C163" t="s">
        <v>1133</v>
      </c>
      <c r="D163" t="s">
        <v>181</v>
      </c>
      <c r="E163" s="3">
        <f t="shared" si="4"/>
        <v>4</v>
      </c>
      <c r="F163">
        <v>95.27</v>
      </c>
      <c r="G163">
        <v>4</v>
      </c>
      <c r="H163">
        <v>28.68</v>
      </c>
      <c r="I163">
        <v>20.18</v>
      </c>
      <c r="J163">
        <v>17.18</v>
      </c>
      <c r="K163">
        <v>4</v>
      </c>
      <c r="L163">
        <v>15.27</v>
      </c>
      <c r="M163">
        <v>6.77</v>
      </c>
      <c r="N163">
        <v>3.77</v>
      </c>
      <c r="O163" s="19">
        <f t="shared" si="5"/>
        <v>1</v>
      </c>
    </row>
    <row r="164" spans="1:15" x14ac:dyDescent="0.25">
      <c r="A164" s="39"/>
      <c r="B164" s="41"/>
      <c r="C164" t="s">
        <v>1134</v>
      </c>
      <c r="D164" t="s">
        <v>181</v>
      </c>
      <c r="E164" s="3">
        <f t="shared" si="4"/>
        <v>4</v>
      </c>
      <c r="F164">
        <v>95.27</v>
      </c>
      <c r="G164">
        <v>4</v>
      </c>
      <c r="H164">
        <v>28.68</v>
      </c>
      <c r="I164">
        <v>20.18</v>
      </c>
      <c r="J164">
        <v>17.18</v>
      </c>
      <c r="K164">
        <v>4</v>
      </c>
      <c r="L164">
        <v>16</v>
      </c>
      <c r="M164">
        <v>7.5</v>
      </c>
      <c r="N164">
        <v>4.5</v>
      </c>
      <c r="O164" s="19">
        <f t="shared" si="5"/>
        <v>1</v>
      </c>
    </row>
    <row r="165" spans="1:15" x14ac:dyDescent="0.25">
      <c r="A165" s="39"/>
      <c r="B165" s="41"/>
      <c r="C165" t="s">
        <v>1135</v>
      </c>
      <c r="D165" t="s">
        <v>181</v>
      </c>
      <c r="E165" s="3">
        <f t="shared" si="4"/>
        <v>4</v>
      </c>
      <c r="F165">
        <v>95.27</v>
      </c>
      <c r="G165">
        <v>4</v>
      </c>
      <c r="H165">
        <v>28.68</v>
      </c>
      <c r="I165">
        <v>20.18</v>
      </c>
      <c r="J165">
        <v>17.18</v>
      </c>
      <c r="K165">
        <v>4</v>
      </c>
      <c r="L165">
        <v>16</v>
      </c>
      <c r="M165">
        <v>7.5</v>
      </c>
      <c r="N165">
        <v>4.5</v>
      </c>
      <c r="O165" s="19">
        <f t="shared" si="5"/>
        <v>1</v>
      </c>
    </row>
    <row r="166" spans="1:15" x14ac:dyDescent="0.25">
      <c r="A166" s="39"/>
      <c r="B166" s="41"/>
      <c r="C166" t="s">
        <v>1136</v>
      </c>
      <c r="D166" t="s">
        <v>181</v>
      </c>
      <c r="E166" s="3">
        <f t="shared" si="4"/>
        <v>4</v>
      </c>
      <c r="F166">
        <v>95.27</v>
      </c>
      <c r="G166">
        <v>4</v>
      </c>
      <c r="H166">
        <v>28.68</v>
      </c>
      <c r="I166">
        <v>20.18</v>
      </c>
      <c r="J166">
        <v>17.18</v>
      </c>
      <c r="K166">
        <v>4</v>
      </c>
      <c r="L166">
        <v>13.95</v>
      </c>
      <c r="M166">
        <v>5.46</v>
      </c>
      <c r="N166">
        <v>2.46</v>
      </c>
      <c r="O166" s="19">
        <f t="shared" si="5"/>
        <v>1</v>
      </c>
    </row>
    <row r="167" spans="1:15" x14ac:dyDescent="0.25">
      <c r="A167" s="39"/>
      <c r="B167" s="41"/>
      <c r="C167" t="s">
        <v>1137</v>
      </c>
      <c r="D167" t="s">
        <v>181</v>
      </c>
      <c r="E167" s="3">
        <f t="shared" si="4"/>
        <v>4</v>
      </c>
      <c r="F167">
        <v>95.27</v>
      </c>
      <c r="G167">
        <v>4</v>
      </c>
      <c r="H167">
        <v>28.68</v>
      </c>
      <c r="I167">
        <v>20.18</v>
      </c>
      <c r="J167">
        <v>17.18</v>
      </c>
      <c r="K167">
        <v>4</v>
      </c>
      <c r="L167">
        <v>16</v>
      </c>
      <c r="M167">
        <v>7.5</v>
      </c>
      <c r="N167">
        <v>4.5</v>
      </c>
      <c r="O167" s="19">
        <f t="shared" si="5"/>
        <v>1</v>
      </c>
    </row>
    <row r="168" spans="1:15" x14ac:dyDescent="0.25">
      <c r="A168" s="39"/>
      <c r="B168" s="41"/>
      <c r="C168" t="s">
        <v>1138</v>
      </c>
      <c r="D168" t="s">
        <v>181</v>
      </c>
      <c r="E168" s="3">
        <f t="shared" si="4"/>
        <v>4</v>
      </c>
      <c r="F168">
        <v>95.27</v>
      </c>
      <c r="G168">
        <v>4</v>
      </c>
      <c r="H168">
        <v>28.68</v>
      </c>
      <c r="I168">
        <v>20.18</v>
      </c>
      <c r="J168">
        <v>17.18</v>
      </c>
      <c r="K168">
        <v>4</v>
      </c>
      <c r="L168">
        <v>15.26</v>
      </c>
      <c r="M168">
        <v>6.77</v>
      </c>
      <c r="N168">
        <v>3.77</v>
      </c>
      <c r="O168" s="19">
        <f t="shared" si="5"/>
        <v>1</v>
      </c>
    </row>
    <row r="169" spans="1:15" x14ac:dyDescent="0.25">
      <c r="A169" s="39"/>
      <c r="B169" s="41"/>
      <c r="C169" t="s">
        <v>1139</v>
      </c>
      <c r="D169" t="s">
        <v>181</v>
      </c>
      <c r="E169" s="3">
        <f t="shared" si="4"/>
        <v>4</v>
      </c>
      <c r="F169">
        <v>95.27</v>
      </c>
      <c r="G169">
        <v>4</v>
      </c>
      <c r="H169">
        <v>28.68</v>
      </c>
      <c r="I169">
        <v>20.18</v>
      </c>
      <c r="J169">
        <v>17.18</v>
      </c>
      <c r="K169">
        <v>4</v>
      </c>
      <c r="L169">
        <v>15.77</v>
      </c>
      <c r="M169">
        <v>7.27</v>
      </c>
      <c r="N169">
        <v>4.2699999999999996</v>
      </c>
      <c r="O169" s="19">
        <f t="shared" si="5"/>
        <v>1</v>
      </c>
    </row>
    <row r="170" spans="1:15" x14ac:dyDescent="0.25">
      <c r="A170" s="39"/>
      <c r="B170" s="41"/>
      <c r="C170" t="s">
        <v>1140</v>
      </c>
      <c r="D170" t="s">
        <v>181</v>
      </c>
      <c r="E170" s="3">
        <f t="shared" si="4"/>
        <v>4</v>
      </c>
      <c r="F170">
        <v>95.27</v>
      </c>
      <c r="G170">
        <v>4</v>
      </c>
      <c r="H170">
        <v>28.68</v>
      </c>
      <c r="I170">
        <v>20.18</v>
      </c>
      <c r="J170">
        <v>17.18</v>
      </c>
      <c r="K170">
        <v>4</v>
      </c>
      <c r="L170">
        <v>15.89</v>
      </c>
      <c r="M170">
        <v>7.39</v>
      </c>
      <c r="N170">
        <v>4.3899999999999997</v>
      </c>
      <c r="O170" s="19">
        <f t="shared" si="5"/>
        <v>1</v>
      </c>
    </row>
    <row r="171" spans="1:15" x14ac:dyDescent="0.25">
      <c r="A171" s="39"/>
      <c r="B171" s="41"/>
      <c r="C171" t="s">
        <v>1141</v>
      </c>
      <c r="D171" t="s">
        <v>181</v>
      </c>
      <c r="E171" s="3">
        <f t="shared" si="4"/>
        <v>4</v>
      </c>
      <c r="F171">
        <v>95.27</v>
      </c>
      <c r="G171">
        <v>4</v>
      </c>
      <c r="H171">
        <v>28.68</v>
      </c>
      <c r="I171">
        <v>20.18</v>
      </c>
      <c r="J171">
        <v>17.18</v>
      </c>
      <c r="K171">
        <v>4</v>
      </c>
      <c r="L171">
        <v>15.46</v>
      </c>
      <c r="M171">
        <v>6.96</v>
      </c>
      <c r="N171">
        <v>3.96</v>
      </c>
      <c r="O171" s="19">
        <f t="shared" si="5"/>
        <v>1</v>
      </c>
    </row>
    <row r="172" spans="1:15" x14ac:dyDescent="0.25">
      <c r="A172" s="39"/>
      <c r="B172" s="41"/>
      <c r="C172" t="s">
        <v>1142</v>
      </c>
      <c r="D172" t="s">
        <v>181</v>
      </c>
      <c r="E172" s="3">
        <f t="shared" si="4"/>
        <v>4</v>
      </c>
      <c r="F172">
        <v>102.28</v>
      </c>
      <c r="G172">
        <v>4</v>
      </c>
      <c r="H172">
        <v>30.79</v>
      </c>
      <c r="I172">
        <v>22.29</v>
      </c>
      <c r="J172">
        <v>19.29</v>
      </c>
      <c r="K172">
        <v>4</v>
      </c>
      <c r="L172">
        <v>16</v>
      </c>
      <c r="M172">
        <v>7.5</v>
      </c>
      <c r="N172">
        <v>4.5</v>
      </c>
      <c r="O172" s="19">
        <f t="shared" si="5"/>
        <v>1</v>
      </c>
    </row>
    <row r="173" spans="1:15" x14ac:dyDescent="0.25">
      <c r="A173" s="39"/>
      <c r="B173" s="41"/>
      <c r="C173" t="s">
        <v>1143</v>
      </c>
      <c r="D173" t="s">
        <v>181</v>
      </c>
      <c r="E173" s="3">
        <f t="shared" si="4"/>
        <v>4</v>
      </c>
      <c r="F173">
        <v>102.28</v>
      </c>
      <c r="G173">
        <v>4</v>
      </c>
      <c r="H173">
        <v>30.79</v>
      </c>
      <c r="I173">
        <v>22.29</v>
      </c>
      <c r="J173">
        <v>19.29</v>
      </c>
      <c r="K173">
        <v>4</v>
      </c>
      <c r="L173">
        <v>16</v>
      </c>
      <c r="M173">
        <v>7.5</v>
      </c>
      <c r="N173">
        <v>4.5</v>
      </c>
      <c r="O173" s="19">
        <f t="shared" si="5"/>
        <v>1</v>
      </c>
    </row>
    <row r="174" spans="1:15" x14ac:dyDescent="0.25">
      <c r="A174" s="39"/>
      <c r="B174" s="41"/>
      <c r="C174" t="s">
        <v>1144</v>
      </c>
      <c r="D174" t="s">
        <v>181</v>
      </c>
      <c r="E174" s="3">
        <f t="shared" si="4"/>
        <v>4</v>
      </c>
      <c r="F174">
        <v>102.28</v>
      </c>
      <c r="G174">
        <v>4</v>
      </c>
      <c r="H174">
        <v>30.79</v>
      </c>
      <c r="I174">
        <v>22.29</v>
      </c>
      <c r="J174">
        <v>19.29</v>
      </c>
      <c r="K174">
        <v>4</v>
      </c>
      <c r="L174">
        <v>15.48</v>
      </c>
      <c r="M174">
        <v>6.98</v>
      </c>
      <c r="N174">
        <v>3.98</v>
      </c>
      <c r="O174" s="19">
        <f t="shared" si="5"/>
        <v>1</v>
      </c>
    </row>
    <row r="175" spans="1:15" x14ac:dyDescent="0.25">
      <c r="A175" s="39"/>
      <c r="B175" s="41"/>
      <c r="C175" t="s">
        <v>1145</v>
      </c>
      <c r="D175" t="s">
        <v>181</v>
      </c>
      <c r="E175" s="3">
        <f t="shared" si="4"/>
        <v>4</v>
      </c>
      <c r="F175">
        <v>102.28</v>
      </c>
      <c r="G175">
        <v>4</v>
      </c>
      <c r="H175">
        <v>30.79</v>
      </c>
      <c r="I175">
        <v>22.29</v>
      </c>
      <c r="J175">
        <v>19.29</v>
      </c>
      <c r="K175">
        <v>4</v>
      </c>
      <c r="L175">
        <v>16</v>
      </c>
      <c r="M175">
        <v>7.5</v>
      </c>
      <c r="N175">
        <v>4.5</v>
      </c>
      <c r="O175" s="19">
        <f t="shared" si="5"/>
        <v>1</v>
      </c>
    </row>
    <row r="176" spans="1:15" x14ac:dyDescent="0.25">
      <c r="A176" s="39"/>
      <c r="B176" s="41"/>
      <c r="C176" t="s">
        <v>1146</v>
      </c>
      <c r="D176" t="s">
        <v>181</v>
      </c>
      <c r="E176" s="3">
        <f t="shared" si="4"/>
        <v>4</v>
      </c>
      <c r="F176">
        <v>102.28</v>
      </c>
      <c r="G176">
        <v>4</v>
      </c>
      <c r="H176">
        <v>30.79</v>
      </c>
      <c r="I176">
        <v>22.29</v>
      </c>
      <c r="J176">
        <v>19.29</v>
      </c>
      <c r="K176">
        <v>4</v>
      </c>
      <c r="L176">
        <v>16</v>
      </c>
      <c r="M176">
        <v>7.5</v>
      </c>
      <c r="N176">
        <v>4.5</v>
      </c>
      <c r="O176" s="19">
        <f t="shared" si="5"/>
        <v>1</v>
      </c>
    </row>
    <row r="177" spans="1:15" x14ac:dyDescent="0.25">
      <c r="A177" s="39"/>
      <c r="B177" s="41"/>
      <c r="C177" t="s">
        <v>1147</v>
      </c>
      <c r="D177" t="s">
        <v>181</v>
      </c>
      <c r="E177" s="3">
        <f t="shared" si="4"/>
        <v>4</v>
      </c>
      <c r="F177">
        <v>102.28</v>
      </c>
      <c r="G177">
        <v>4</v>
      </c>
      <c r="H177">
        <v>30.79</v>
      </c>
      <c r="I177">
        <v>22.29</v>
      </c>
      <c r="J177">
        <v>19.29</v>
      </c>
      <c r="K177">
        <v>4</v>
      </c>
      <c r="L177">
        <v>16</v>
      </c>
      <c r="M177">
        <v>7.5</v>
      </c>
      <c r="N177">
        <v>4.5</v>
      </c>
      <c r="O177" s="19">
        <f t="shared" si="5"/>
        <v>1</v>
      </c>
    </row>
    <row r="178" spans="1:15" x14ac:dyDescent="0.25">
      <c r="A178" s="39"/>
      <c r="B178" s="41"/>
      <c r="C178" t="s">
        <v>1148</v>
      </c>
      <c r="D178" t="s">
        <v>181</v>
      </c>
      <c r="E178" s="3">
        <f t="shared" si="4"/>
        <v>4</v>
      </c>
      <c r="F178">
        <v>102.28</v>
      </c>
      <c r="G178">
        <v>4</v>
      </c>
      <c r="H178">
        <v>30.79</v>
      </c>
      <c r="I178">
        <v>22.29</v>
      </c>
      <c r="J178">
        <v>19.29</v>
      </c>
      <c r="K178">
        <v>4</v>
      </c>
      <c r="L178">
        <v>16</v>
      </c>
      <c r="M178">
        <v>7.5</v>
      </c>
      <c r="N178">
        <v>4.5</v>
      </c>
      <c r="O178" s="19">
        <f t="shared" si="5"/>
        <v>1</v>
      </c>
    </row>
    <row r="179" spans="1:15" x14ac:dyDescent="0.25">
      <c r="A179" s="39"/>
      <c r="B179" s="41"/>
      <c r="C179" t="s">
        <v>1149</v>
      </c>
      <c r="D179" t="s">
        <v>181</v>
      </c>
      <c r="E179" s="3">
        <f t="shared" si="4"/>
        <v>4</v>
      </c>
      <c r="F179">
        <v>102.28</v>
      </c>
      <c r="G179">
        <v>4</v>
      </c>
      <c r="H179">
        <v>30.79</v>
      </c>
      <c r="I179">
        <v>22.29</v>
      </c>
      <c r="J179">
        <v>19.29</v>
      </c>
      <c r="K179">
        <v>4</v>
      </c>
      <c r="L179">
        <v>16</v>
      </c>
      <c r="M179">
        <v>7.5</v>
      </c>
      <c r="N179">
        <v>4.5</v>
      </c>
      <c r="O179" s="19">
        <f t="shared" si="5"/>
        <v>1</v>
      </c>
    </row>
    <row r="180" spans="1:15" x14ac:dyDescent="0.25">
      <c r="A180" s="39"/>
      <c r="B180" s="41"/>
      <c r="C180" t="s">
        <v>1150</v>
      </c>
      <c r="D180" t="s">
        <v>181</v>
      </c>
      <c r="E180" s="3">
        <f t="shared" si="4"/>
        <v>4</v>
      </c>
      <c r="F180">
        <v>102.28</v>
      </c>
      <c r="G180">
        <v>4</v>
      </c>
      <c r="H180">
        <v>30.79</v>
      </c>
      <c r="I180">
        <v>22.29</v>
      </c>
      <c r="J180">
        <v>19.29</v>
      </c>
      <c r="K180">
        <v>4</v>
      </c>
      <c r="L180">
        <v>16</v>
      </c>
      <c r="M180">
        <v>7.5</v>
      </c>
      <c r="N180">
        <v>4.5</v>
      </c>
      <c r="O180" s="19">
        <f t="shared" si="5"/>
        <v>1</v>
      </c>
    </row>
    <row r="181" spans="1:15" x14ac:dyDescent="0.25">
      <c r="A181" s="39"/>
      <c r="B181" s="42"/>
      <c r="C181" s="10" t="s">
        <v>1151</v>
      </c>
      <c r="D181" s="10" t="s">
        <v>181</v>
      </c>
      <c r="E181" s="11">
        <f t="shared" si="4"/>
        <v>4</v>
      </c>
      <c r="F181" s="10">
        <v>102.28</v>
      </c>
      <c r="G181" s="10">
        <v>4</v>
      </c>
      <c r="H181" s="10">
        <v>30.79</v>
      </c>
      <c r="I181" s="10">
        <v>22.29</v>
      </c>
      <c r="J181" s="10">
        <v>19.29</v>
      </c>
      <c r="K181" s="10">
        <v>4</v>
      </c>
      <c r="L181" s="10">
        <v>16</v>
      </c>
      <c r="M181" s="10">
        <v>7.5</v>
      </c>
      <c r="N181" s="10">
        <v>4.5</v>
      </c>
      <c r="O181" s="20">
        <f t="shared" si="5"/>
        <v>1</v>
      </c>
    </row>
    <row r="182" spans="1:15" x14ac:dyDescent="0.25">
      <c r="A182" s="39" t="s">
        <v>3</v>
      </c>
      <c r="B182" s="40" t="s">
        <v>4</v>
      </c>
      <c r="C182" s="7" t="s">
        <v>1152</v>
      </c>
      <c r="D182" s="7" t="s">
        <v>271</v>
      </c>
      <c r="E182" s="8">
        <f t="shared" si="4"/>
        <v>2</v>
      </c>
      <c r="F182" s="7">
        <v>52.44</v>
      </c>
      <c r="G182" s="7">
        <v>4</v>
      </c>
      <c r="H182" s="7">
        <v>15.79</v>
      </c>
      <c r="I182" s="7">
        <v>7.29</v>
      </c>
      <c r="J182" s="7">
        <v>4.29</v>
      </c>
      <c r="K182" s="7">
        <v>2</v>
      </c>
      <c r="L182" s="7">
        <v>7.55</v>
      </c>
      <c r="M182" s="7">
        <v>-0.94</v>
      </c>
      <c r="N182" s="7">
        <v>-3.94</v>
      </c>
      <c r="O182" s="18">
        <f t="shared" si="5"/>
        <v>1</v>
      </c>
    </row>
    <row r="183" spans="1:15" x14ac:dyDescent="0.25">
      <c r="A183" s="39"/>
      <c r="B183" s="41"/>
      <c r="C183" t="s">
        <v>1153</v>
      </c>
      <c r="D183" t="s">
        <v>271</v>
      </c>
      <c r="E183" s="3">
        <f t="shared" si="4"/>
        <v>2</v>
      </c>
      <c r="F183">
        <v>52.44</v>
      </c>
      <c r="G183">
        <v>4</v>
      </c>
      <c r="H183">
        <v>15.79</v>
      </c>
      <c r="I183">
        <v>7.29</v>
      </c>
      <c r="J183">
        <v>4.29</v>
      </c>
      <c r="K183">
        <v>2</v>
      </c>
      <c r="L183">
        <v>8</v>
      </c>
      <c r="M183">
        <v>-0.5</v>
      </c>
      <c r="N183">
        <v>-3.5</v>
      </c>
      <c r="O183" s="19">
        <f t="shared" si="5"/>
        <v>1</v>
      </c>
    </row>
    <row r="184" spans="1:15" x14ac:dyDescent="0.25">
      <c r="A184" s="39"/>
      <c r="B184" s="41"/>
      <c r="C184" t="s">
        <v>1154</v>
      </c>
      <c r="D184" t="s">
        <v>271</v>
      </c>
      <c r="E184" s="3">
        <f t="shared" si="4"/>
        <v>2</v>
      </c>
      <c r="F184">
        <v>52.44</v>
      </c>
      <c r="G184">
        <v>4</v>
      </c>
      <c r="H184">
        <v>15.79</v>
      </c>
      <c r="I184">
        <v>7.29</v>
      </c>
      <c r="J184">
        <v>4.29</v>
      </c>
      <c r="K184">
        <v>2</v>
      </c>
      <c r="L184">
        <v>8</v>
      </c>
      <c r="M184">
        <v>-0.5</v>
      </c>
      <c r="N184">
        <v>-3.5</v>
      </c>
      <c r="O184" s="19">
        <f t="shared" si="5"/>
        <v>1</v>
      </c>
    </row>
    <row r="185" spans="1:15" x14ac:dyDescent="0.25">
      <c r="A185" s="39"/>
      <c r="B185" s="41"/>
      <c r="C185" t="s">
        <v>1155</v>
      </c>
      <c r="D185" t="s">
        <v>271</v>
      </c>
      <c r="E185" s="3">
        <f t="shared" si="4"/>
        <v>2</v>
      </c>
      <c r="F185">
        <v>52.44</v>
      </c>
      <c r="G185">
        <v>4</v>
      </c>
      <c r="H185">
        <v>15.79</v>
      </c>
      <c r="I185">
        <v>7.29</v>
      </c>
      <c r="J185">
        <v>4.29</v>
      </c>
      <c r="K185">
        <v>2</v>
      </c>
      <c r="L185">
        <v>7</v>
      </c>
      <c r="M185">
        <v>-1.5</v>
      </c>
      <c r="N185">
        <v>-4.5</v>
      </c>
      <c r="O185" s="19">
        <f t="shared" si="5"/>
        <v>1</v>
      </c>
    </row>
    <row r="186" spans="1:15" x14ac:dyDescent="0.25">
      <c r="A186" s="39"/>
      <c r="B186" s="41"/>
      <c r="C186" t="s">
        <v>1156</v>
      </c>
      <c r="D186" t="s">
        <v>271</v>
      </c>
      <c r="E186" s="3">
        <f t="shared" si="4"/>
        <v>2</v>
      </c>
      <c r="F186">
        <v>52.44</v>
      </c>
      <c r="G186">
        <v>4</v>
      </c>
      <c r="H186">
        <v>15.79</v>
      </c>
      <c r="I186">
        <v>7.29</v>
      </c>
      <c r="J186">
        <v>4.29</v>
      </c>
      <c r="K186">
        <v>2</v>
      </c>
      <c r="L186">
        <v>7.06</v>
      </c>
      <c r="M186">
        <v>-1.43</v>
      </c>
      <c r="N186">
        <v>-4.43</v>
      </c>
      <c r="O186" s="19">
        <f t="shared" si="5"/>
        <v>1</v>
      </c>
    </row>
    <row r="187" spans="1:15" x14ac:dyDescent="0.25">
      <c r="A187" s="39"/>
      <c r="B187" s="41"/>
      <c r="C187" t="s">
        <v>1157</v>
      </c>
      <c r="D187" t="s">
        <v>271</v>
      </c>
      <c r="E187" s="3">
        <f t="shared" si="4"/>
        <v>2</v>
      </c>
      <c r="F187">
        <v>52.44</v>
      </c>
      <c r="G187">
        <v>4</v>
      </c>
      <c r="H187">
        <v>15.79</v>
      </c>
      <c r="I187">
        <v>7.29</v>
      </c>
      <c r="J187">
        <v>4.29</v>
      </c>
      <c r="K187">
        <v>2</v>
      </c>
      <c r="L187">
        <v>8</v>
      </c>
      <c r="M187">
        <v>-0.5</v>
      </c>
      <c r="N187">
        <v>-3.5</v>
      </c>
      <c r="O187" s="19">
        <f t="shared" si="5"/>
        <v>1</v>
      </c>
    </row>
    <row r="188" spans="1:15" x14ac:dyDescent="0.25">
      <c r="A188" s="39"/>
      <c r="B188" s="41"/>
      <c r="C188" t="s">
        <v>1158</v>
      </c>
      <c r="D188" t="s">
        <v>271</v>
      </c>
      <c r="E188" s="3">
        <f t="shared" si="4"/>
        <v>2</v>
      </c>
      <c r="F188">
        <v>52.44</v>
      </c>
      <c r="G188">
        <v>4</v>
      </c>
      <c r="H188">
        <v>15.79</v>
      </c>
      <c r="I188">
        <v>7.29</v>
      </c>
      <c r="J188">
        <v>4.29</v>
      </c>
      <c r="K188">
        <v>2</v>
      </c>
      <c r="L188">
        <v>8</v>
      </c>
      <c r="M188">
        <v>-0.5</v>
      </c>
      <c r="N188">
        <v>-3.5</v>
      </c>
      <c r="O188" s="19">
        <f t="shared" si="5"/>
        <v>1</v>
      </c>
    </row>
    <row r="189" spans="1:15" x14ac:dyDescent="0.25">
      <c r="A189" s="39"/>
      <c r="B189" s="41"/>
      <c r="C189" t="s">
        <v>1159</v>
      </c>
      <c r="D189" t="s">
        <v>271</v>
      </c>
      <c r="E189" s="3">
        <f t="shared" si="4"/>
        <v>2</v>
      </c>
      <c r="F189">
        <v>52.44</v>
      </c>
      <c r="G189">
        <v>4</v>
      </c>
      <c r="H189">
        <v>15.79</v>
      </c>
      <c r="I189">
        <v>7.29</v>
      </c>
      <c r="J189">
        <v>4.29</v>
      </c>
      <c r="K189">
        <v>2</v>
      </c>
      <c r="L189">
        <v>8</v>
      </c>
      <c r="M189">
        <v>-0.5</v>
      </c>
      <c r="N189">
        <v>-3.5</v>
      </c>
      <c r="O189" s="19">
        <f t="shared" si="5"/>
        <v>1</v>
      </c>
    </row>
    <row r="190" spans="1:15" x14ac:dyDescent="0.25">
      <c r="A190" s="39"/>
      <c r="B190" s="41"/>
      <c r="C190" t="s">
        <v>1160</v>
      </c>
      <c r="D190" t="s">
        <v>271</v>
      </c>
      <c r="E190" s="3">
        <f t="shared" si="4"/>
        <v>2</v>
      </c>
      <c r="F190">
        <v>52.44</v>
      </c>
      <c r="G190">
        <v>4</v>
      </c>
      <c r="H190">
        <v>15.79</v>
      </c>
      <c r="I190">
        <v>7.29</v>
      </c>
      <c r="J190">
        <v>4.29</v>
      </c>
      <c r="K190">
        <v>2</v>
      </c>
      <c r="L190">
        <v>8</v>
      </c>
      <c r="M190">
        <v>-0.5</v>
      </c>
      <c r="N190">
        <v>-3.5</v>
      </c>
      <c r="O190" s="19">
        <f t="shared" si="5"/>
        <v>1</v>
      </c>
    </row>
    <row r="191" spans="1:15" x14ac:dyDescent="0.25">
      <c r="A191" s="39"/>
      <c r="B191" s="41"/>
      <c r="C191" t="s">
        <v>1161</v>
      </c>
      <c r="D191" t="s">
        <v>271</v>
      </c>
      <c r="E191" s="3">
        <f t="shared" si="4"/>
        <v>2</v>
      </c>
      <c r="F191">
        <v>52.44</v>
      </c>
      <c r="G191">
        <v>4</v>
      </c>
      <c r="H191">
        <v>15.79</v>
      </c>
      <c r="I191">
        <v>7.29</v>
      </c>
      <c r="J191">
        <v>4.29</v>
      </c>
      <c r="K191">
        <v>2</v>
      </c>
      <c r="L191">
        <v>8</v>
      </c>
      <c r="M191">
        <v>-0.5</v>
      </c>
      <c r="N191">
        <v>-3.5</v>
      </c>
      <c r="O191" s="19">
        <f t="shared" si="5"/>
        <v>1</v>
      </c>
    </row>
    <row r="192" spans="1:15" x14ac:dyDescent="0.25">
      <c r="A192" s="39"/>
      <c r="B192" s="41"/>
      <c r="C192" t="s">
        <v>1162</v>
      </c>
      <c r="D192" t="s">
        <v>271</v>
      </c>
      <c r="E192" s="3">
        <f t="shared" si="4"/>
        <v>2</v>
      </c>
      <c r="F192">
        <v>52.44</v>
      </c>
      <c r="G192">
        <v>4</v>
      </c>
      <c r="H192">
        <v>15.79</v>
      </c>
      <c r="I192">
        <v>7.29</v>
      </c>
      <c r="J192">
        <v>4.29</v>
      </c>
      <c r="K192">
        <v>2</v>
      </c>
      <c r="L192">
        <v>8</v>
      </c>
      <c r="M192">
        <v>-0.5</v>
      </c>
      <c r="N192">
        <v>-3.5</v>
      </c>
      <c r="O192" s="19">
        <f t="shared" si="5"/>
        <v>1</v>
      </c>
    </row>
    <row r="193" spans="1:15" x14ac:dyDescent="0.25">
      <c r="A193" s="39"/>
      <c r="B193" s="41"/>
      <c r="C193" t="s">
        <v>1163</v>
      </c>
      <c r="D193" t="s">
        <v>271</v>
      </c>
      <c r="E193" s="3">
        <f t="shared" si="4"/>
        <v>2</v>
      </c>
      <c r="F193">
        <v>52.44</v>
      </c>
      <c r="G193">
        <v>4</v>
      </c>
      <c r="H193">
        <v>15.79</v>
      </c>
      <c r="I193">
        <v>7.29</v>
      </c>
      <c r="J193">
        <v>4.29</v>
      </c>
      <c r="K193">
        <v>2</v>
      </c>
      <c r="L193">
        <v>8</v>
      </c>
      <c r="M193">
        <v>-0.5</v>
      </c>
      <c r="N193">
        <v>-3.5</v>
      </c>
      <c r="O193" s="19">
        <f t="shared" si="5"/>
        <v>1</v>
      </c>
    </row>
    <row r="194" spans="1:15" x14ac:dyDescent="0.25">
      <c r="A194" s="39"/>
      <c r="B194" s="41"/>
      <c r="C194" t="s">
        <v>1164</v>
      </c>
      <c r="D194" t="s">
        <v>271</v>
      </c>
      <c r="E194" s="3">
        <f t="shared" ref="E194:E241" si="6">IF(D194="Muito Fraca", 1, IF(D194="Fraca", 2, IF(D194="Boa", 3, 4)))</f>
        <v>2</v>
      </c>
      <c r="F194">
        <v>52.44</v>
      </c>
      <c r="G194">
        <v>4</v>
      </c>
      <c r="H194">
        <v>15.79</v>
      </c>
      <c r="I194">
        <v>7.29</v>
      </c>
      <c r="J194">
        <v>4.29</v>
      </c>
      <c r="K194">
        <v>2</v>
      </c>
      <c r="L194">
        <v>8</v>
      </c>
      <c r="M194">
        <v>-0.5</v>
      </c>
      <c r="N194">
        <v>-3.5</v>
      </c>
      <c r="O194" s="19">
        <f t="shared" si="5"/>
        <v>1</v>
      </c>
    </row>
    <row r="195" spans="1:15" x14ac:dyDescent="0.25">
      <c r="A195" s="39"/>
      <c r="B195" s="41"/>
      <c r="C195" t="s">
        <v>1165</v>
      </c>
      <c r="D195" t="s">
        <v>271</v>
      </c>
      <c r="E195" s="3">
        <f t="shared" si="6"/>
        <v>2</v>
      </c>
      <c r="F195">
        <v>52.44</v>
      </c>
      <c r="G195">
        <v>4</v>
      </c>
      <c r="H195">
        <v>15.79</v>
      </c>
      <c r="I195">
        <v>7.29</v>
      </c>
      <c r="J195">
        <v>4.29</v>
      </c>
      <c r="K195">
        <v>2</v>
      </c>
      <c r="L195">
        <v>8</v>
      </c>
      <c r="M195">
        <v>-0.5</v>
      </c>
      <c r="N195">
        <v>-3.5</v>
      </c>
      <c r="O195" s="19">
        <f t="shared" ref="O195:O241" si="7">E195/K195</f>
        <v>1</v>
      </c>
    </row>
    <row r="196" spans="1:15" x14ac:dyDescent="0.25">
      <c r="A196" s="39"/>
      <c r="B196" s="41"/>
      <c r="C196" t="s">
        <v>1166</v>
      </c>
      <c r="D196" t="s">
        <v>271</v>
      </c>
      <c r="E196" s="3">
        <f t="shared" si="6"/>
        <v>2</v>
      </c>
      <c r="F196">
        <v>52.44</v>
      </c>
      <c r="G196">
        <v>4</v>
      </c>
      <c r="H196">
        <v>15.79</v>
      </c>
      <c r="I196">
        <v>7.29</v>
      </c>
      <c r="J196">
        <v>4.29</v>
      </c>
      <c r="K196">
        <v>2</v>
      </c>
      <c r="L196">
        <v>8</v>
      </c>
      <c r="M196">
        <v>-0.5</v>
      </c>
      <c r="N196">
        <v>-3.5</v>
      </c>
      <c r="O196" s="19">
        <f t="shared" si="7"/>
        <v>1</v>
      </c>
    </row>
    <row r="197" spans="1:15" x14ac:dyDescent="0.25">
      <c r="A197" s="39"/>
      <c r="B197" s="41"/>
      <c r="C197" t="s">
        <v>1167</v>
      </c>
      <c r="D197" t="s">
        <v>271</v>
      </c>
      <c r="E197" s="3">
        <f t="shared" si="6"/>
        <v>2</v>
      </c>
      <c r="F197">
        <v>52.44</v>
      </c>
      <c r="G197">
        <v>4</v>
      </c>
      <c r="H197">
        <v>15.79</v>
      </c>
      <c r="I197">
        <v>7.29</v>
      </c>
      <c r="J197">
        <v>4.29</v>
      </c>
      <c r="K197">
        <v>2</v>
      </c>
      <c r="L197">
        <v>8</v>
      </c>
      <c r="M197">
        <v>-0.5</v>
      </c>
      <c r="N197">
        <v>-3.5</v>
      </c>
      <c r="O197" s="19">
        <f t="shared" si="7"/>
        <v>1</v>
      </c>
    </row>
    <row r="198" spans="1:15" x14ac:dyDescent="0.25">
      <c r="A198" s="39"/>
      <c r="B198" s="41"/>
      <c r="C198" t="s">
        <v>1168</v>
      </c>
      <c r="D198" t="s">
        <v>271</v>
      </c>
      <c r="E198" s="3">
        <f t="shared" si="6"/>
        <v>2</v>
      </c>
      <c r="F198">
        <v>52.44</v>
      </c>
      <c r="G198">
        <v>4</v>
      </c>
      <c r="H198">
        <v>15.79</v>
      </c>
      <c r="I198">
        <v>7.29</v>
      </c>
      <c r="J198">
        <v>4.29</v>
      </c>
      <c r="K198">
        <v>2</v>
      </c>
      <c r="L198">
        <v>8</v>
      </c>
      <c r="M198">
        <v>-0.5</v>
      </c>
      <c r="N198">
        <v>-3.5</v>
      </c>
      <c r="O198" s="19">
        <f t="shared" si="7"/>
        <v>1</v>
      </c>
    </row>
    <row r="199" spans="1:15" x14ac:dyDescent="0.25">
      <c r="A199" s="39"/>
      <c r="B199" s="41"/>
      <c r="C199" t="s">
        <v>1169</v>
      </c>
      <c r="D199" t="s">
        <v>271</v>
      </c>
      <c r="E199" s="3">
        <f t="shared" si="6"/>
        <v>2</v>
      </c>
      <c r="F199">
        <v>52.44</v>
      </c>
      <c r="G199">
        <v>4</v>
      </c>
      <c r="H199">
        <v>15.79</v>
      </c>
      <c r="I199">
        <v>7.29</v>
      </c>
      <c r="J199">
        <v>4.29</v>
      </c>
      <c r="K199">
        <v>2</v>
      </c>
      <c r="L199">
        <v>8</v>
      </c>
      <c r="M199">
        <v>-0.5</v>
      </c>
      <c r="N199">
        <v>-3.5</v>
      </c>
      <c r="O199" s="19">
        <f t="shared" si="7"/>
        <v>1</v>
      </c>
    </row>
    <row r="200" spans="1:15" x14ac:dyDescent="0.25">
      <c r="A200" s="39"/>
      <c r="B200" s="41"/>
      <c r="C200" t="s">
        <v>1170</v>
      </c>
      <c r="D200" t="s">
        <v>271</v>
      </c>
      <c r="E200" s="3">
        <f t="shared" si="6"/>
        <v>2</v>
      </c>
      <c r="F200">
        <v>52.44</v>
      </c>
      <c r="G200">
        <v>4</v>
      </c>
      <c r="H200">
        <v>15.79</v>
      </c>
      <c r="I200">
        <v>7.29</v>
      </c>
      <c r="J200">
        <v>4.29</v>
      </c>
      <c r="K200">
        <v>2</v>
      </c>
      <c r="L200">
        <v>8</v>
      </c>
      <c r="M200">
        <v>-0.5</v>
      </c>
      <c r="N200">
        <v>-3.5</v>
      </c>
      <c r="O200" s="19">
        <f t="shared" si="7"/>
        <v>1</v>
      </c>
    </row>
    <row r="201" spans="1:15" x14ac:dyDescent="0.25">
      <c r="A201" s="39"/>
      <c r="B201" s="42"/>
      <c r="C201" s="10" t="s">
        <v>1171</v>
      </c>
      <c r="D201" s="10" t="s">
        <v>271</v>
      </c>
      <c r="E201" s="11">
        <f t="shared" si="6"/>
        <v>2</v>
      </c>
      <c r="F201" s="10">
        <v>52.44</v>
      </c>
      <c r="G201" s="10">
        <v>4</v>
      </c>
      <c r="H201" s="10">
        <v>15.79</v>
      </c>
      <c r="I201" s="10">
        <v>7.29</v>
      </c>
      <c r="J201" s="10">
        <v>4.29</v>
      </c>
      <c r="K201" s="10">
        <v>2</v>
      </c>
      <c r="L201" s="10">
        <v>8</v>
      </c>
      <c r="M201" s="10">
        <v>-0.5</v>
      </c>
      <c r="N201" s="10">
        <v>-3.5</v>
      </c>
      <c r="O201" s="20">
        <f t="shared" si="7"/>
        <v>1</v>
      </c>
    </row>
    <row r="202" spans="1:15" x14ac:dyDescent="0.25">
      <c r="A202" s="39"/>
      <c r="B202" s="40" t="s">
        <v>6</v>
      </c>
      <c r="C202" s="7" t="s">
        <v>1172</v>
      </c>
      <c r="D202" s="7" t="s">
        <v>181</v>
      </c>
      <c r="E202" s="8">
        <f t="shared" si="6"/>
        <v>4</v>
      </c>
      <c r="F202" s="7">
        <v>78.66</v>
      </c>
      <c r="G202" s="7">
        <v>4</v>
      </c>
      <c r="H202" s="7">
        <v>23.68</v>
      </c>
      <c r="I202" s="7">
        <v>15.18</v>
      </c>
      <c r="J202" s="7">
        <v>12.18</v>
      </c>
      <c r="K202" s="7">
        <v>4</v>
      </c>
      <c r="L202" s="7">
        <v>12</v>
      </c>
      <c r="M202" s="7">
        <v>3.5</v>
      </c>
      <c r="N202" s="7">
        <v>0.5</v>
      </c>
      <c r="O202" s="18">
        <f t="shared" si="7"/>
        <v>1</v>
      </c>
    </row>
    <row r="203" spans="1:15" x14ac:dyDescent="0.25">
      <c r="A203" s="39"/>
      <c r="B203" s="41"/>
      <c r="C203" t="s">
        <v>1173</v>
      </c>
      <c r="D203" t="s">
        <v>181</v>
      </c>
      <c r="E203" s="3">
        <f t="shared" si="6"/>
        <v>4</v>
      </c>
      <c r="F203">
        <v>78.66</v>
      </c>
      <c r="G203">
        <v>4</v>
      </c>
      <c r="H203">
        <v>23.68</v>
      </c>
      <c r="I203">
        <v>15.18</v>
      </c>
      <c r="J203">
        <v>12.18</v>
      </c>
      <c r="K203">
        <v>4</v>
      </c>
      <c r="L203">
        <v>12</v>
      </c>
      <c r="M203">
        <v>3.5</v>
      </c>
      <c r="N203">
        <v>0.5</v>
      </c>
      <c r="O203" s="19">
        <f t="shared" si="7"/>
        <v>1</v>
      </c>
    </row>
    <row r="204" spans="1:15" x14ac:dyDescent="0.25">
      <c r="A204" s="39"/>
      <c r="B204" s="41"/>
      <c r="C204" t="s">
        <v>1174</v>
      </c>
      <c r="D204" t="s">
        <v>181</v>
      </c>
      <c r="E204" s="3">
        <f t="shared" si="6"/>
        <v>4</v>
      </c>
      <c r="F204">
        <v>78.66</v>
      </c>
      <c r="G204">
        <v>4</v>
      </c>
      <c r="H204">
        <v>23.68</v>
      </c>
      <c r="I204">
        <v>15.18</v>
      </c>
      <c r="J204">
        <v>12.18</v>
      </c>
      <c r="K204">
        <v>4</v>
      </c>
      <c r="L204">
        <v>12</v>
      </c>
      <c r="M204">
        <v>3.5</v>
      </c>
      <c r="N204">
        <v>0.5</v>
      </c>
      <c r="O204" s="19">
        <f t="shared" si="7"/>
        <v>1</v>
      </c>
    </row>
    <row r="205" spans="1:15" x14ac:dyDescent="0.25">
      <c r="A205" s="39"/>
      <c r="B205" s="41"/>
      <c r="C205" t="s">
        <v>1175</v>
      </c>
      <c r="D205" t="s">
        <v>181</v>
      </c>
      <c r="E205" s="3">
        <f t="shared" si="6"/>
        <v>4</v>
      </c>
      <c r="F205">
        <v>78.66</v>
      </c>
      <c r="G205">
        <v>4</v>
      </c>
      <c r="H205">
        <v>23.68</v>
      </c>
      <c r="I205">
        <v>15.18</v>
      </c>
      <c r="J205">
        <v>12.18</v>
      </c>
      <c r="K205">
        <v>4</v>
      </c>
      <c r="L205">
        <v>12</v>
      </c>
      <c r="M205">
        <v>3.5</v>
      </c>
      <c r="N205">
        <v>0.5</v>
      </c>
      <c r="O205" s="19">
        <f t="shared" si="7"/>
        <v>1</v>
      </c>
    </row>
    <row r="206" spans="1:15" x14ac:dyDescent="0.25">
      <c r="A206" s="39"/>
      <c r="B206" s="41"/>
      <c r="C206" t="s">
        <v>1176</v>
      </c>
      <c r="D206" t="s">
        <v>181</v>
      </c>
      <c r="E206" s="3">
        <f t="shared" si="6"/>
        <v>4</v>
      </c>
      <c r="F206">
        <v>78.66</v>
      </c>
      <c r="G206">
        <v>4</v>
      </c>
      <c r="H206">
        <v>23.68</v>
      </c>
      <c r="I206">
        <v>15.18</v>
      </c>
      <c r="J206">
        <v>12.18</v>
      </c>
      <c r="K206">
        <v>4</v>
      </c>
      <c r="L206">
        <v>12</v>
      </c>
      <c r="M206">
        <v>3.5</v>
      </c>
      <c r="N206">
        <v>0.5</v>
      </c>
      <c r="O206" s="19">
        <f t="shared" si="7"/>
        <v>1</v>
      </c>
    </row>
    <row r="207" spans="1:15" x14ac:dyDescent="0.25">
      <c r="A207" s="39"/>
      <c r="B207" s="41"/>
      <c r="C207" t="s">
        <v>1177</v>
      </c>
      <c r="D207" t="s">
        <v>181</v>
      </c>
      <c r="E207" s="3">
        <f t="shared" si="6"/>
        <v>4</v>
      </c>
      <c r="F207">
        <v>78.66</v>
      </c>
      <c r="G207">
        <v>4</v>
      </c>
      <c r="H207">
        <v>23.68</v>
      </c>
      <c r="I207">
        <v>15.18</v>
      </c>
      <c r="J207">
        <v>12.18</v>
      </c>
      <c r="K207">
        <v>4</v>
      </c>
      <c r="L207">
        <v>12</v>
      </c>
      <c r="M207">
        <v>3.5</v>
      </c>
      <c r="N207">
        <v>0.5</v>
      </c>
      <c r="O207" s="19">
        <f t="shared" si="7"/>
        <v>1</v>
      </c>
    </row>
    <row r="208" spans="1:15" x14ac:dyDescent="0.25">
      <c r="A208" s="39"/>
      <c r="B208" s="41"/>
      <c r="C208" t="s">
        <v>1178</v>
      </c>
      <c r="D208" t="s">
        <v>181</v>
      </c>
      <c r="E208" s="3">
        <f t="shared" si="6"/>
        <v>4</v>
      </c>
      <c r="F208">
        <v>78.66</v>
      </c>
      <c r="G208">
        <v>4</v>
      </c>
      <c r="H208">
        <v>23.68</v>
      </c>
      <c r="I208">
        <v>15.18</v>
      </c>
      <c r="J208">
        <v>12.18</v>
      </c>
      <c r="K208">
        <v>4</v>
      </c>
      <c r="L208">
        <v>12</v>
      </c>
      <c r="M208">
        <v>3.5</v>
      </c>
      <c r="N208">
        <v>0.5</v>
      </c>
      <c r="O208" s="19">
        <f t="shared" si="7"/>
        <v>1</v>
      </c>
    </row>
    <row r="209" spans="1:15" x14ac:dyDescent="0.25">
      <c r="A209" s="39"/>
      <c r="B209" s="41"/>
      <c r="C209" t="s">
        <v>1179</v>
      </c>
      <c r="D209" t="s">
        <v>181</v>
      </c>
      <c r="E209" s="3">
        <f t="shared" si="6"/>
        <v>4</v>
      </c>
      <c r="F209">
        <v>78.66</v>
      </c>
      <c r="G209">
        <v>4</v>
      </c>
      <c r="H209">
        <v>23.68</v>
      </c>
      <c r="I209">
        <v>15.18</v>
      </c>
      <c r="J209">
        <v>12.18</v>
      </c>
      <c r="K209">
        <v>4</v>
      </c>
      <c r="L209">
        <v>12</v>
      </c>
      <c r="M209">
        <v>3.5</v>
      </c>
      <c r="N209">
        <v>0.5</v>
      </c>
      <c r="O209" s="19">
        <f t="shared" si="7"/>
        <v>1</v>
      </c>
    </row>
    <row r="210" spans="1:15" x14ac:dyDescent="0.25">
      <c r="A210" s="39"/>
      <c r="B210" s="41"/>
      <c r="C210" t="s">
        <v>1180</v>
      </c>
      <c r="D210" t="s">
        <v>181</v>
      </c>
      <c r="E210" s="3">
        <f t="shared" si="6"/>
        <v>4</v>
      </c>
      <c r="F210">
        <v>78.66</v>
      </c>
      <c r="G210">
        <v>4</v>
      </c>
      <c r="H210">
        <v>23.68</v>
      </c>
      <c r="I210">
        <v>15.18</v>
      </c>
      <c r="J210">
        <v>12.18</v>
      </c>
      <c r="K210">
        <v>4</v>
      </c>
      <c r="L210">
        <v>12</v>
      </c>
      <c r="M210">
        <v>3.5</v>
      </c>
      <c r="N210">
        <v>0.5</v>
      </c>
      <c r="O210" s="19">
        <f t="shared" si="7"/>
        <v>1</v>
      </c>
    </row>
    <row r="211" spans="1:15" x14ac:dyDescent="0.25">
      <c r="A211" s="39"/>
      <c r="B211" s="41"/>
      <c r="C211" t="s">
        <v>1181</v>
      </c>
      <c r="D211" t="s">
        <v>181</v>
      </c>
      <c r="E211" s="3">
        <f t="shared" si="6"/>
        <v>4</v>
      </c>
      <c r="F211">
        <v>78.66</v>
      </c>
      <c r="G211">
        <v>4</v>
      </c>
      <c r="H211">
        <v>23.68</v>
      </c>
      <c r="I211">
        <v>15.18</v>
      </c>
      <c r="J211">
        <v>12.18</v>
      </c>
      <c r="K211">
        <v>4</v>
      </c>
      <c r="L211">
        <v>11.55</v>
      </c>
      <c r="M211">
        <v>3.05</v>
      </c>
      <c r="N211">
        <v>0.05</v>
      </c>
      <c r="O211" s="19">
        <f t="shared" si="7"/>
        <v>1</v>
      </c>
    </row>
    <row r="212" spans="1:15" x14ac:dyDescent="0.25">
      <c r="A212" s="39"/>
      <c r="B212" s="41"/>
      <c r="C212" t="s">
        <v>1182</v>
      </c>
      <c r="D212" t="s">
        <v>181</v>
      </c>
      <c r="E212" s="3">
        <f t="shared" si="6"/>
        <v>4</v>
      </c>
      <c r="F212">
        <v>78.66</v>
      </c>
      <c r="G212">
        <v>4</v>
      </c>
      <c r="H212">
        <v>23.68</v>
      </c>
      <c r="I212">
        <v>15.18</v>
      </c>
      <c r="J212">
        <v>12.18</v>
      </c>
      <c r="K212">
        <v>4</v>
      </c>
      <c r="L212">
        <v>12</v>
      </c>
      <c r="M212">
        <v>3.5</v>
      </c>
      <c r="N212">
        <v>0.5</v>
      </c>
      <c r="O212" s="19">
        <f t="shared" si="7"/>
        <v>1</v>
      </c>
    </row>
    <row r="213" spans="1:15" x14ac:dyDescent="0.25">
      <c r="A213" s="39"/>
      <c r="B213" s="41"/>
      <c r="C213" t="s">
        <v>1183</v>
      </c>
      <c r="D213" t="s">
        <v>181</v>
      </c>
      <c r="E213" s="3">
        <f t="shared" si="6"/>
        <v>4</v>
      </c>
      <c r="F213">
        <v>78.66</v>
      </c>
      <c r="G213">
        <v>4</v>
      </c>
      <c r="H213">
        <v>23.68</v>
      </c>
      <c r="I213">
        <v>15.18</v>
      </c>
      <c r="J213">
        <v>12.18</v>
      </c>
      <c r="K213">
        <v>4</v>
      </c>
      <c r="L213">
        <v>11.56</v>
      </c>
      <c r="M213">
        <v>3.06</v>
      </c>
      <c r="N213">
        <v>0.06</v>
      </c>
      <c r="O213" s="19">
        <f t="shared" si="7"/>
        <v>1</v>
      </c>
    </row>
    <row r="214" spans="1:15" x14ac:dyDescent="0.25">
      <c r="A214" s="39"/>
      <c r="B214" s="41"/>
      <c r="C214" t="s">
        <v>1184</v>
      </c>
      <c r="D214" t="s">
        <v>181</v>
      </c>
      <c r="E214" s="3">
        <f t="shared" si="6"/>
        <v>4</v>
      </c>
      <c r="F214">
        <v>78.66</v>
      </c>
      <c r="G214">
        <v>4</v>
      </c>
      <c r="H214">
        <v>23.68</v>
      </c>
      <c r="I214">
        <v>15.18</v>
      </c>
      <c r="J214">
        <v>12.18</v>
      </c>
      <c r="K214">
        <v>4</v>
      </c>
      <c r="L214">
        <v>12</v>
      </c>
      <c r="M214">
        <v>3.5</v>
      </c>
      <c r="N214">
        <v>0.5</v>
      </c>
      <c r="O214" s="19">
        <f t="shared" si="7"/>
        <v>1</v>
      </c>
    </row>
    <row r="215" spans="1:15" x14ac:dyDescent="0.25">
      <c r="A215" s="39"/>
      <c r="B215" s="41"/>
      <c r="C215" t="s">
        <v>1185</v>
      </c>
      <c r="D215" t="s">
        <v>181</v>
      </c>
      <c r="E215" s="3">
        <f t="shared" si="6"/>
        <v>4</v>
      </c>
      <c r="F215">
        <v>78.66</v>
      </c>
      <c r="G215">
        <v>4</v>
      </c>
      <c r="H215">
        <v>23.68</v>
      </c>
      <c r="I215">
        <v>15.18</v>
      </c>
      <c r="J215">
        <v>12.18</v>
      </c>
      <c r="K215">
        <v>4</v>
      </c>
      <c r="L215">
        <v>11.59</v>
      </c>
      <c r="M215">
        <v>3.1</v>
      </c>
      <c r="N215">
        <v>0.1</v>
      </c>
      <c r="O215" s="19">
        <f t="shared" si="7"/>
        <v>1</v>
      </c>
    </row>
    <row r="216" spans="1:15" x14ac:dyDescent="0.25">
      <c r="A216" s="39"/>
      <c r="B216" s="41"/>
      <c r="C216" t="s">
        <v>1186</v>
      </c>
      <c r="D216" t="s">
        <v>181</v>
      </c>
      <c r="E216" s="3">
        <f t="shared" si="6"/>
        <v>4</v>
      </c>
      <c r="F216">
        <v>78.66</v>
      </c>
      <c r="G216">
        <v>4</v>
      </c>
      <c r="H216">
        <v>23.68</v>
      </c>
      <c r="I216">
        <v>15.18</v>
      </c>
      <c r="J216">
        <v>12.18</v>
      </c>
      <c r="K216">
        <v>4</v>
      </c>
      <c r="L216">
        <v>11.06</v>
      </c>
      <c r="M216">
        <v>2.57</v>
      </c>
      <c r="N216">
        <v>-0.43</v>
      </c>
      <c r="O216" s="19">
        <f t="shared" si="7"/>
        <v>1</v>
      </c>
    </row>
    <row r="217" spans="1:15" x14ac:dyDescent="0.25">
      <c r="A217" s="39"/>
      <c r="B217" s="41"/>
      <c r="C217" t="s">
        <v>1187</v>
      </c>
      <c r="D217" t="s">
        <v>181</v>
      </c>
      <c r="E217" s="3">
        <f t="shared" si="6"/>
        <v>4</v>
      </c>
      <c r="F217">
        <v>78.66</v>
      </c>
      <c r="G217">
        <v>4</v>
      </c>
      <c r="H217">
        <v>23.68</v>
      </c>
      <c r="I217">
        <v>15.18</v>
      </c>
      <c r="J217">
        <v>12.18</v>
      </c>
      <c r="K217">
        <v>4</v>
      </c>
      <c r="L217">
        <v>11.52</v>
      </c>
      <c r="M217">
        <v>3.02</v>
      </c>
      <c r="N217">
        <v>0.02</v>
      </c>
      <c r="O217" s="19">
        <f t="shared" si="7"/>
        <v>1</v>
      </c>
    </row>
    <row r="218" spans="1:15" x14ac:dyDescent="0.25">
      <c r="A218" s="39"/>
      <c r="B218" s="41"/>
      <c r="C218" t="s">
        <v>1188</v>
      </c>
      <c r="D218" t="s">
        <v>181</v>
      </c>
      <c r="E218" s="3">
        <f t="shared" si="6"/>
        <v>4</v>
      </c>
      <c r="F218">
        <v>78.66</v>
      </c>
      <c r="G218">
        <v>4</v>
      </c>
      <c r="H218">
        <v>23.68</v>
      </c>
      <c r="I218">
        <v>15.18</v>
      </c>
      <c r="J218">
        <v>12.18</v>
      </c>
      <c r="K218">
        <v>4</v>
      </c>
      <c r="L218">
        <v>12</v>
      </c>
      <c r="M218">
        <v>3.5</v>
      </c>
      <c r="N218">
        <v>0.5</v>
      </c>
      <c r="O218" s="19">
        <f t="shared" si="7"/>
        <v>1</v>
      </c>
    </row>
    <row r="219" spans="1:15" x14ac:dyDescent="0.25">
      <c r="A219" s="39"/>
      <c r="B219" s="41"/>
      <c r="C219" t="s">
        <v>1189</v>
      </c>
      <c r="D219" t="s">
        <v>181</v>
      </c>
      <c r="E219" s="3">
        <f t="shared" si="6"/>
        <v>4</v>
      </c>
      <c r="F219">
        <v>78.66</v>
      </c>
      <c r="G219">
        <v>4</v>
      </c>
      <c r="H219">
        <v>23.68</v>
      </c>
      <c r="I219">
        <v>15.18</v>
      </c>
      <c r="J219">
        <v>12.18</v>
      </c>
      <c r="K219">
        <v>4</v>
      </c>
      <c r="L219">
        <v>12</v>
      </c>
      <c r="M219">
        <v>3.5</v>
      </c>
      <c r="N219">
        <v>0.5</v>
      </c>
      <c r="O219" s="19">
        <f t="shared" si="7"/>
        <v>1</v>
      </c>
    </row>
    <row r="220" spans="1:15" x14ac:dyDescent="0.25">
      <c r="A220" s="39"/>
      <c r="B220" s="41"/>
      <c r="C220" t="s">
        <v>1190</v>
      </c>
      <c r="D220" t="s">
        <v>181</v>
      </c>
      <c r="E220" s="3">
        <f t="shared" si="6"/>
        <v>4</v>
      </c>
      <c r="F220">
        <v>78.66</v>
      </c>
      <c r="G220">
        <v>4</v>
      </c>
      <c r="H220">
        <v>23.68</v>
      </c>
      <c r="I220">
        <v>15.18</v>
      </c>
      <c r="J220">
        <v>12.18</v>
      </c>
      <c r="K220">
        <v>4</v>
      </c>
      <c r="L220">
        <v>12</v>
      </c>
      <c r="M220">
        <v>3.5</v>
      </c>
      <c r="N220">
        <v>0.5</v>
      </c>
      <c r="O220" s="19">
        <f t="shared" si="7"/>
        <v>1</v>
      </c>
    </row>
    <row r="221" spans="1:15" x14ac:dyDescent="0.25">
      <c r="A221" s="39"/>
      <c r="B221" s="42"/>
      <c r="C221" s="10" t="s">
        <v>1191</v>
      </c>
      <c r="D221" s="10" t="s">
        <v>181</v>
      </c>
      <c r="E221" s="11">
        <f t="shared" si="6"/>
        <v>4</v>
      </c>
      <c r="F221" s="10">
        <v>78.66</v>
      </c>
      <c r="G221" s="10">
        <v>4</v>
      </c>
      <c r="H221" s="10">
        <v>23.68</v>
      </c>
      <c r="I221" s="10">
        <v>15.18</v>
      </c>
      <c r="J221" s="10">
        <v>12.18</v>
      </c>
      <c r="K221" s="10">
        <v>4</v>
      </c>
      <c r="L221" s="10">
        <v>12</v>
      </c>
      <c r="M221" s="10">
        <v>3.5</v>
      </c>
      <c r="N221" s="10">
        <v>0.5</v>
      </c>
      <c r="O221" s="20">
        <f t="shared" si="7"/>
        <v>1</v>
      </c>
    </row>
    <row r="222" spans="1:15" x14ac:dyDescent="0.25">
      <c r="A222" s="39"/>
      <c r="B222" s="40" t="s">
        <v>5</v>
      </c>
      <c r="C222" s="7" t="s">
        <v>1192</v>
      </c>
      <c r="D222" s="7" t="s">
        <v>181</v>
      </c>
      <c r="E222" s="8">
        <f t="shared" si="6"/>
        <v>4</v>
      </c>
      <c r="F222" s="7">
        <v>104.87</v>
      </c>
      <c r="G222" s="7">
        <v>4</v>
      </c>
      <c r="H222" s="7">
        <v>31.57</v>
      </c>
      <c r="I222" s="7">
        <v>23.07</v>
      </c>
      <c r="J222" s="7">
        <v>20.07</v>
      </c>
      <c r="K222" s="7">
        <v>4</v>
      </c>
      <c r="L222" s="7">
        <v>16</v>
      </c>
      <c r="M222" s="7">
        <v>7.5</v>
      </c>
      <c r="N222" s="7">
        <v>4.5</v>
      </c>
      <c r="O222" s="18">
        <f t="shared" si="7"/>
        <v>1</v>
      </c>
    </row>
    <row r="223" spans="1:15" x14ac:dyDescent="0.25">
      <c r="A223" s="39"/>
      <c r="B223" s="41"/>
      <c r="C223" t="s">
        <v>1193</v>
      </c>
      <c r="D223" t="s">
        <v>181</v>
      </c>
      <c r="E223" s="3">
        <f t="shared" si="6"/>
        <v>4</v>
      </c>
      <c r="F223">
        <v>104.87</v>
      </c>
      <c r="G223">
        <v>4</v>
      </c>
      <c r="H223">
        <v>31.57</v>
      </c>
      <c r="I223">
        <v>23.07</v>
      </c>
      <c r="J223">
        <v>20.07</v>
      </c>
      <c r="K223">
        <v>4</v>
      </c>
      <c r="L223">
        <v>16</v>
      </c>
      <c r="M223">
        <v>7.5</v>
      </c>
      <c r="N223">
        <v>4.5</v>
      </c>
      <c r="O223" s="19">
        <f t="shared" si="7"/>
        <v>1</v>
      </c>
    </row>
    <row r="224" spans="1:15" x14ac:dyDescent="0.25">
      <c r="A224" s="39"/>
      <c r="B224" s="41"/>
      <c r="C224" t="s">
        <v>1194</v>
      </c>
      <c r="D224" t="s">
        <v>181</v>
      </c>
      <c r="E224" s="3">
        <f t="shared" si="6"/>
        <v>4</v>
      </c>
      <c r="F224">
        <v>104.87</v>
      </c>
      <c r="G224">
        <v>4</v>
      </c>
      <c r="H224">
        <v>31.57</v>
      </c>
      <c r="I224">
        <v>23.07</v>
      </c>
      <c r="J224">
        <v>20.07</v>
      </c>
      <c r="K224">
        <v>4</v>
      </c>
      <c r="L224">
        <v>16</v>
      </c>
      <c r="M224">
        <v>7.5</v>
      </c>
      <c r="N224">
        <v>4.5</v>
      </c>
      <c r="O224" s="19">
        <f t="shared" si="7"/>
        <v>1</v>
      </c>
    </row>
    <row r="225" spans="1:15" x14ac:dyDescent="0.25">
      <c r="A225" s="39"/>
      <c r="B225" s="41"/>
      <c r="C225" t="s">
        <v>1195</v>
      </c>
      <c r="D225" t="s">
        <v>181</v>
      </c>
      <c r="E225" s="3">
        <f t="shared" si="6"/>
        <v>4</v>
      </c>
      <c r="F225">
        <v>104.87</v>
      </c>
      <c r="G225">
        <v>4</v>
      </c>
      <c r="H225">
        <v>31.57</v>
      </c>
      <c r="I225">
        <v>23.07</v>
      </c>
      <c r="J225">
        <v>20.07</v>
      </c>
      <c r="K225">
        <v>4</v>
      </c>
      <c r="L225">
        <v>16</v>
      </c>
      <c r="M225">
        <v>7.5</v>
      </c>
      <c r="N225">
        <v>4.5</v>
      </c>
      <c r="O225" s="19">
        <f t="shared" si="7"/>
        <v>1</v>
      </c>
    </row>
    <row r="226" spans="1:15" x14ac:dyDescent="0.25">
      <c r="A226" s="39"/>
      <c r="B226" s="41"/>
      <c r="C226" t="s">
        <v>1196</v>
      </c>
      <c r="D226" t="s">
        <v>181</v>
      </c>
      <c r="E226" s="3">
        <f t="shared" si="6"/>
        <v>4</v>
      </c>
      <c r="F226">
        <v>104.87</v>
      </c>
      <c r="G226">
        <v>4</v>
      </c>
      <c r="H226">
        <v>31.57</v>
      </c>
      <c r="I226">
        <v>23.07</v>
      </c>
      <c r="J226">
        <v>20.07</v>
      </c>
      <c r="K226">
        <v>4</v>
      </c>
      <c r="L226">
        <v>16</v>
      </c>
      <c r="M226">
        <v>7.5</v>
      </c>
      <c r="N226">
        <v>4.5</v>
      </c>
      <c r="O226" s="19">
        <f t="shared" si="7"/>
        <v>1</v>
      </c>
    </row>
    <row r="227" spans="1:15" x14ac:dyDescent="0.25">
      <c r="A227" s="39"/>
      <c r="B227" s="41"/>
      <c r="C227" t="s">
        <v>1197</v>
      </c>
      <c r="D227" t="s">
        <v>181</v>
      </c>
      <c r="E227" s="3">
        <f t="shared" si="6"/>
        <v>4</v>
      </c>
      <c r="F227">
        <v>104.87</v>
      </c>
      <c r="G227">
        <v>4</v>
      </c>
      <c r="H227">
        <v>31.57</v>
      </c>
      <c r="I227">
        <v>23.07</v>
      </c>
      <c r="J227">
        <v>20.07</v>
      </c>
      <c r="K227">
        <v>4</v>
      </c>
      <c r="L227">
        <v>16</v>
      </c>
      <c r="M227">
        <v>7.5</v>
      </c>
      <c r="N227">
        <v>4.5</v>
      </c>
      <c r="O227" s="19">
        <f t="shared" si="7"/>
        <v>1</v>
      </c>
    </row>
    <row r="228" spans="1:15" x14ac:dyDescent="0.25">
      <c r="A228" s="39"/>
      <c r="B228" s="41"/>
      <c r="C228" t="s">
        <v>1198</v>
      </c>
      <c r="D228" t="s">
        <v>181</v>
      </c>
      <c r="E228" s="3">
        <f t="shared" si="6"/>
        <v>4</v>
      </c>
      <c r="F228">
        <v>104.87</v>
      </c>
      <c r="G228">
        <v>4</v>
      </c>
      <c r="H228">
        <v>31.57</v>
      </c>
      <c r="I228">
        <v>23.07</v>
      </c>
      <c r="J228">
        <v>20.07</v>
      </c>
      <c r="K228">
        <v>4</v>
      </c>
      <c r="L228">
        <v>16</v>
      </c>
      <c r="M228">
        <v>7.5</v>
      </c>
      <c r="N228">
        <v>4.5</v>
      </c>
      <c r="O228" s="19">
        <f t="shared" si="7"/>
        <v>1</v>
      </c>
    </row>
    <row r="229" spans="1:15" x14ac:dyDescent="0.25">
      <c r="A229" s="39"/>
      <c r="B229" s="41"/>
      <c r="C229" t="s">
        <v>1199</v>
      </c>
      <c r="D229" t="s">
        <v>181</v>
      </c>
      <c r="E229" s="3">
        <f t="shared" si="6"/>
        <v>4</v>
      </c>
      <c r="F229">
        <v>104.87</v>
      </c>
      <c r="G229">
        <v>4</v>
      </c>
      <c r="H229">
        <v>31.57</v>
      </c>
      <c r="I229">
        <v>23.07</v>
      </c>
      <c r="J229">
        <v>20.07</v>
      </c>
      <c r="K229">
        <v>4</v>
      </c>
      <c r="L229">
        <v>16</v>
      </c>
      <c r="M229">
        <v>7.5</v>
      </c>
      <c r="N229">
        <v>4.5</v>
      </c>
      <c r="O229" s="19">
        <f t="shared" si="7"/>
        <v>1</v>
      </c>
    </row>
    <row r="230" spans="1:15" x14ac:dyDescent="0.25">
      <c r="A230" s="39"/>
      <c r="B230" s="41"/>
      <c r="C230" t="s">
        <v>1200</v>
      </c>
      <c r="D230" t="s">
        <v>181</v>
      </c>
      <c r="E230" s="3">
        <f t="shared" si="6"/>
        <v>4</v>
      </c>
      <c r="F230">
        <v>104.87</v>
      </c>
      <c r="G230">
        <v>4</v>
      </c>
      <c r="H230">
        <v>31.57</v>
      </c>
      <c r="I230">
        <v>23.07</v>
      </c>
      <c r="J230">
        <v>20.07</v>
      </c>
      <c r="K230">
        <v>4</v>
      </c>
      <c r="L230">
        <v>16</v>
      </c>
      <c r="M230">
        <v>7.5</v>
      </c>
      <c r="N230">
        <v>4.5</v>
      </c>
      <c r="O230" s="19">
        <f t="shared" si="7"/>
        <v>1</v>
      </c>
    </row>
    <row r="231" spans="1:15" x14ac:dyDescent="0.25">
      <c r="A231" s="39"/>
      <c r="B231" s="41"/>
      <c r="C231" t="s">
        <v>1201</v>
      </c>
      <c r="D231" t="s">
        <v>181</v>
      </c>
      <c r="E231" s="3">
        <f t="shared" si="6"/>
        <v>4</v>
      </c>
      <c r="F231">
        <v>104.87</v>
      </c>
      <c r="G231">
        <v>4</v>
      </c>
      <c r="H231">
        <v>31.57</v>
      </c>
      <c r="I231">
        <v>23.07</v>
      </c>
      <c r="J231">
        <v>20.07</v>
      </c>
      <c r="K231">
        <v>4</v>
      </c>
      <c r="L231">
        <v>16</v>
      </c>
      <c r="M231">
        <v>7.5</v>
      </c>
      <c r="N231">
        <v>4.5</v>
      </c>
      <c r="O231" s="19">
        <f t="shared" si="7"/>
        <v>1</v>
      </c>
    </row>
    <row r="232" spans="1:15" x14ac:dyDescent="0.25">
      <c r="A232" s="39"/>
      <c r="B232" s="41"/>
      <c r="C232" t="s">
        <v>1202</v>
      </c>
      <c r="D232" t="s">
        <v>181</v>
      </c>
      <c r="E232" s="3">
        <f t="shared" si="6"/>
        <v>4</v>
      </c>
      <c r="F232">
        <v>104.87</v>
      </c>
      <c r="G232">
        <v>4</v>
      </c>
      <c r="H232">
        <v>31.57</v>
      </c>
      <c r="I232">
        <v>23.07</v>
      </c>
      <c r="J232">
        <v>20.07</v>
      </c>
      <c r="K232">
        <v>4</v>
      </c>
      <c r="L232">
        <v>16</v>
      </c>
      <c r="M232">
        <v>7.5</v>
      </c>
      <c r="N232">
        <v>4.5</v>
      </c>
      <c r="O232" s="19">
        <f t="shared" si="7"/>
        <v>1</v>
      </c>
    </row>
    <row r="233" spans="1:15" x14ac:dyDescent="0.25">
      <c r="A233" s="39"/>
      <c r="B233" s="41"/>
      <c r="C233" t="s">
        <v>1203</v>
      </c>
      <c r="D233" t="s">
        <v>181</v>
      </c>
      <c r="E233" s="3">
        <f t="shared" si="6"/>
        <v>4</v>
      </c>
      <c r="F233">
        <v>104.87</v>
      </c>
      <c r="G233">
        <v>4</v>
      </c>
      <c r="H233">
        <v>31.57</v>
      </c>
      <c r="I233">
        <v>23.07</v>
      </c>
      <c r="J233">
        <v>20.07</v>
      </c>
      <c r="K233">
        <v>4</v>
      </c>
      <c r="L233">
        <v>16</v>
      </c>
      <c r="M233">
        <v>7.5</v>
      </c>
      <c r="N233">
        <v>4.5</v>
      </c>
      <c r="O233" s="19">
        <f t="shared" si="7"/>
        <v>1</v>
      </c>
    </row>
    <row r="234" spans="1:15" x14ac:dyDescent="0.25">
      <c r="A234" s="39"/>
      <c r="B234" s="41"/>
      <c r="C234" t="s">
        <v>1204</v>
      </c>
      <c r="D234" t="s">
        <v>181</v>
      </c>
      <c r="E234" s="3">
        <f t="shared" si="6"/>
        <v>4</v>
      </c>
      <c r="F234">
        <v>104.87</v>
      </c>
      <c r="G234">
        <v>4</v>
      </c>
      <c r="H234">
        <v>31.57</v>
      </c>
      <c r="I234">
        <v>23.07</v>
      </c>
      <c r="J234">
        <v>20.07</v>
      </c>
      <c r="K234">
        <v>4</v>
      </c>
      <c r="L234">
        <v>16</v>
      </c>
      <c r="M234">
        <v>7.5</v>
      </c>
      <c r="N234">
        <v>4.5</v>
      </c>
      <c r="O234" s="19">
        <f t="shared" si="7"/>
        <v>1</v>
      </c>
    </row>
    <row r="235" spans="1:15" x14ac:dyDescent="0.25">
      <c r="A235" s="39"/>
      <c r="B235" s="41"/>
      <c r="C235" t="s">
        <v>1205</v>
      </c>
      <c r="D235" t="s">
        <v>181</v>
      </c>
      <c r="E235" s="3">
        <f t="shared" si="6"/>
        <v>4</v>
      </c>
      <c r="F235">
        <v>104.87</v>
      </c>
      <c r="G235">
        <v>4</v>
      </c>
      <c r="H235">
        <v>31.57</v>
      </c>
      <c r="I235">
        <v>23.07</v>
      </c>
      <c r="J235">
        <v>20.07</v>
      </c>
      <c r="K235">
        <v>4</v>
      </c>
      <c r="L235">
        <v>16</v>
      </c>
      <c r="M235">
        <v>7.5</v>
      </c>
      <c r="N235">
        <v>4.5</v>
      </c>
      <c r="O235" s="19">
        <f t="shared" si="7"/>
        <v>1</v>
      </c>
    </row>
    <row r="236" spans="1:15" x14ac:dyDescent="0.25">
      <c r="A236" s="39"/>
      <c r="B236" s="41"/>
      <c r="C236" t="s">
        <v>1206</v>
      </c>
      <c r="D236" t="s">
        <v>181</v>
      </c>
      <c r="E236" s="3">
        <f t="shared" si="6"/>
        <v>4</v>
      </c>
      <c r="F236">
        <v>104.87</v>
      </c>
      <c r="G236">
        <v>4</v>
      </c>
      <c r="H236">
        <v>31.57</v>
      </c>
      <c r="I236">
        <v>23.07</v>
      </c>
      <c r="J236">
        <v>20.07</v>
      </c>
      <c r="K236">
        <v>4</v>
      </c>
      <c r="L236">
        <v>16</v>
      </c>
      <c r="M236">
        <v>7.5</v>
      </c>
      <c r="N236">
        <v>4.5</v>
      </c>
      <c r="O236" s="19">
        <f t="shared" si="7"/>
        <v>1</v>
      </c>
    </row>
    <row r="237" spans="1:15" x14ac:dyDescent="0.25">
      <c r="A237" s="39"/>
      <c r="B237" s="41"/>
      <c r="C237" t="s">
        <v>1207</v>
      </c>
      <c r="D237" t="s">
        <v>181</v>
      </c>
      <c r="E237" s="3">
        <f t="shared" si="6"/>
        <v>4</v>
      </c>
      <c r="F237">
        <v>104.87</v>
      </c>
      <c r="G237">
        <v>4</v>
      </c>
      <c r="H237">
        <v>31.57</v>
      </c>
      <c r="I237">
        <v>23.07</v>
      </c>
      <c r="J237">
        <v>20.07</v>
      </c>
      <c r="K237">
        <v>4</v>
      </c>
      <c r="L237">
        <v>16</v>
      </c>
      <c r="M237">
        <v>7.5</v>
      </c>
      <c r="N237">
        <v>4.5</v>
      </c>
      <c r="O237" s="19">
        <f t="shared" si="7"/>
        <v>1</v>
      </c>
    </row>
    <row r="238" spans="1:15" x14ac:dyDescent="0.25">
      <c r="A238" s="39"/>
      <c r="B238" s="41"/>
      <c r="C238" t="s">
        <v>1208</v>
      </c>
      <c r="D238" t="s">
        <v>181</v>
      </c>
      <c r="E238" s="3">
        <f t="shared" si="6"/>
        <v>4</v>
      </c>
      <c r="F238">
        <v>104.87</v>
      </c>
      <c r="G238">
        <v>4</v>
      </c>
      <c r="H238">
        <v>31.57</v>
      </c>
      <c r="I238">
        <v>23.07</v>
      </c>
      <c r="J238">
        <v>20.07</v>
      </c>
      <c r="K238">
        <v>4</v>
      </c>
      <c r="L238">
        <v>14.56</v>
      </c>
      <c r="M238">
        <v>6.06</v>
      </c>
      <c r="N238">
        <v>3.06</v>
      </c>
      <c r="O238" s="19">
        <f t="shared" si="7"/>
        <v>1</v>
      </c>
    </row>
    <row r="239" spans="1:15" x14ac:dyDescent="0.25">
      <c r="A239" s="39"/>
      <c r="B239" s="41"/>
      <c r="C239" t="s">
        <v>1209</v>
      </c>
      <c r="D239" t="s">
        <v>181</v>
      </c>
      <c r="E239" s="3">
        <f t="shared" si="6"/>
        <v>4</v>
      </c>
      <c r="F239">
        <v>104.87</v>
      </c>
      <c r="G239">
        <v>4</v>
      </c>
      <c r="H239">
        <v>31.57</v>
      </c>
      <c r="I239">
        <v>23.07</v>
      </c>
      <c r="J239">
        <v>20.07</v>
      </c>
      <c r="K239">
        <v>4</v>
      </c>
      <c r="L239">
        <v>16</v>
      </c>
      <c r="M239">
        <v>7.5</v>
      </c>
      <c r="N239">
        <v>4.5</v>
      </c>
      <c r="O239" s="19">
        <f t="shared" si="7"/>
        <v>1</v>
      </c>
    </row>
    <row r="240" spans="1:15" x14ac:dyDescent="0.25">
      <c r="A240" s="39"/>
      <c r="B240" s="41"/>
      <c r="C240" t="s">
        <v>1210</v>
      </c>
      <c r="D240" t="s">
        <v>181</v>
      </c>
      <c r="E240" s="3">
        <f t="shared" si="6"/>
        <v>4</v>
      </c>
      <c r="F240">
        <v>104.87</v>
      </c>
      <c r="G240">
        <v>4</v>
      </c>
      <c r="H240">
        <v>31.57</v>
      </c>
      <c r="I240">
        <v>23.07</v>
      </c>
      <c r="J240">
        <v>20.07</v>
      </c>
      <c r="K240">
        <v>4</v>
      </c>
      <c r="L240">
        <v>16</v>
      </c>
      <c r="M240">
        <v>7.5</v>
      </c>
      <c r="N240">
        <v>4.5</v>
      </c>
      <c r="O240" s="19">
        <f t="shared" si="7"/>
        <v>1</v>
      </c>
    </row>
    <row r="241" spans="1:15" x14ac:dyDescent="0.25">
      <c r="A241" s="39"/>
      <c r="B241" s="42"/>
      <c r="C241" s="10" t="s">
        <v>1211</v>
      </c>
      <c r="D241" s="10" t="s">
        <v>181</v>
      </c>
      <c r="E241" s="11">
        <f t="shared" si="6"/>
        <v>4</v>
      </c>
      <c r="F241" s="10">
        <v>104.87</v>
      </c>
      <c r="G241" s="10">
        <v>4</v>
      </c>
      <c r="H241" s="10">
        <v>31.57</v>
      </c>
      <c r="I241" s="10">
        <v>23.07</v>
      </c>
      <c r="J241" s="10">
        <v>20.07</v>
      </c>
      <c r="K241" s="10">
        <v>4</v>
      </c>
      <c r="L241" s="10">
        <v>16</v>
      </c>
      <c r="M241" s="10">
        <v>7.5</v>
      </c>
      <c r="N241" s="10">
        <v>4.5</v>
      </c>
      <c r="O241" s="20">
        <f t="shared" si="7"/>
        <v>1</v>
      </c>
    </row>
  </sheetData>
  <autoFilter ref="A1:O241" xr:uid="{4D893838-7C34-4AEF-B560-285625BFA8E8}"/>
  <mergeCells count="278">
    <mergeCell ref="S101:T101"/>
    <mergeCell ref="U101:V101"/>
    <mergeCell ref="W101:X101"/>
    <mergeCell ref="S102:T102"/>
    <mergeCell ref="U102:V102"/>
    <mergeCell ref="W102:X102"/>
    <mergeCell ref="S98:T98"/>
    <mergeCell ref="U98:V98"/>
    <mergeCell ref="W98:X98"/>
    <mergeCell ref="S99:T99"/>
    <mergeCell ref="U99:V99"/>
    <mergeCell ref="W99:X99"/>
    <mergeCell ref="S100:T100"/>
    <mergeCell ref="U100:V100"/>
    <mergeCell ref="W100:X100"/>
    <mergeCell ref="A122:A181"/>
    <mergeCell ref="B122:B141"/>
    <mergeCell ref="B142:B161"/>
    <mergeCell ref="B162:B181"/>
    <mergeCell ref="A182:A241"/>
    <mergeCell ref="B182:B201"/>
    <mergeCell ref="B202:B221"/>
    <mergeCell ref="B222:B241"/>
    <mergeCell ref="A2:A61"/>
    <mergeCell ref="B2:B21"/>
    <mergeCell ref="B22:B41"/>
    <mergeCell ref="B42:B61"/>
    <mergeCell ref="A62:A121"/>
    <mergeCell ref="B62:B81"/>
    <mergeCell ref="B82:B101"/>
    <mergeCell ref="B102:B121"/>
    <mergeCell ref="S12:T12"/>
    <mergeCell ref="U12:V12"/>
    <mergeCell ref="W12:X12"/>
    <mergeCell ref="S13:T13"/>
    <mergeCell ref="U13:V13"/>
    <mergeCell ref="W13:X13"/>
    <mergeCell ref="R9:X9"/>
    <mergeCell ref="S10:T10"/>
    <mergeCell ref="U10:V10"/>
    <mergeCell ref="W10:X10"/>
    <mergeCell ref="S11:T11"/>
    <mergeCell ref="U11:V11"/>
    <mergeCell ref="W11:X11"/>
    <mergeCell ref="S16:T16"/>
    <mergeCell ref="U16:V16"/>
    <mergeCell ref="W16:X16"/>
    <mergeCell ref="S17:T17"/>
    <mergeCell ref="U17:V17"/>
    <mergeCell ref="W17:X17"/>
    <mergeCell ref="S14:T14"/>
    <mergeCell ref="U14:V14"/>
    <mergeCell ref="W14:X14"/>
    <mergeCell ref="S15:T15"/>
    <mergeCell ref="U15:V15"/>
    <mergeCell ref="W15:X15"/>
    <mergeCell ref="R21:X21"/>
    <mergeCell ref="S22:T22"/>
    <mergeCell ref="U22:V22"/>
    <mergeCell ref="W22:X22"/>
    <mergeCell ref="S23:T23"/>
    <mergeCell ref="U23:V23"/>
    <mergeCell ref="W23:X23"/>
    <mergeCell ref="S18:T18"/>
    <mergeCell ref="U18:V18"/>
    <mergeCell ref="W18:X18"/>
    <mergeCell ref="S19:T19"/>
    <mergeCell ref="U19:V19"/>
    <mergeCell ref="W19:X19"/>
    <mergeCell ref="S26:T26"/>
    <mergeCell ref="U26:V26"/>
    <mergeCell ref="W26:X26"/>
    <mergeCell ref="S27:T27"/>
    <mergeCell ref="U27:V27"/>
    <mergeCell ref="W27:X27"/>
    <mergeCell ref="S24:T24"/>
    <mergeCell ref="U24:V24"/>
    <mergeCell ref="W24:X24"/>
    <mergeCell ref="S25:T25"/>
    <mergeCell ref="U25:V25"/>
    <mergeCell ref="W25:X25"/>
    <mergeCell ref="S30:T30"/>
    <mergeCell ref="U30:V30"/>
    <mergeCell ref="W30:X30"/>
    <mergeCell ref="S31:T31"/>
    <mergeCell ref="U31:V31"/>
    <mergeCell ref="W31:X31"/>
    <mergeCell ref="S28:T28"/>
    <mergeCell ref="U28:V28"/>
    <mergeCell ref="W28:X28"/>
    <mergeCell ref="S29:T29"/>
    <mergeCell ref="U29:V29"/>
    <mergeCell ref="W29:X29"/>
    <mergeCell ref="S36:T36"/>
    <mergeCell ref="U36:V36"/>
    <mergeCell ref="W36:X36"/>
    <mergeCell ref="S37:T37"/>
    <mergeCell ref="U37:V37"/>
    <mergeCell ref="W37:X37"/>
    <mergeCell ref="R33:X33"/>
    <mergeCell ref="S34:T34"/>
    <mergeCell ref="U34:V34"/>
    <mergeCell ref="W34:X34"/>
    <mergeCell ref="S35:T35"/>
    <mergeCell ref="U35:V35"/>
    <mergeCell ref="W35:X35"/>
    <mergeCell ref="S40:T40"/>
    <mergeCell ref="U40:V40"/>
    <mergeCell ref="W40:X40"/>
    <mergeCell ref="S41:T41"/>
    <mergeCell ref="U41:V41"/>
    <mergeCell ref="W41:X41"/>
    <mergeCell ref="S38:T38"/>
    <mergeCell ref="U38:V38"/>
    <mergeCell ref="W38:X38"/>
    <mergeCell ref="S39:T39"/>
    <mergeCell ref="U39:V39"/>
    <mergeCell ref="W39:X39"/>
    <mergeCell ref="R45:X45"/>
    <mergeCell ref="S46:T46"/>
    <mergeCell ref="U46:V46"/>
    <mergeCell ref="W46:X46"/>
    <mergeCell ref="S47:T47"/>
    <mergeCell ref="U47:V47"/>
    <mergeCell ref="W47:X47"/>
    <mergeCell ref="S42:T42"/>
    <mergeCell ref="U42:V42"/>
    <mergeCell ref="W42:X42"/>
    <mergeCell ref="S43:T43"/>
    <mergeCell ref="U43:V43"/>
    <mergeCell ref="W43:X43"/>
    <mergeCell ref="S50:T50"/>
    <mergeCell ref="U50:V50"/>
    <mergeCell ref="W50:X50"/>
    <mergeCell ref="S51:T51"/>
    <mergeCell ref="U51:V51"/>
    <mergeCell ref="W51:X51"/>
    <mergeCell ref="S48:T48"/>
    <mergeCell ref="U48:V48"/>
    <mergeCell ref="W48:X48"/>
    <mergeCell ref="S49:T49"/>
    <mergeCell ref="U49:V49"/>
    <mergeCell ref="W49:X49"/>
    <mergeCell ref="S54:T54"/>
    <mergeCell ref="U54:V54"/>
    <mergeCell ref="W54:X54"/>
    <mergeCell ref="S55:T55"/>
    <mergeCell ref="U55:V55"/>
    <mergeCell ref="W55:X55"/>
    <mergeCell ref="S52:T52"/>
    <mergeCell ref="U52:V52"/>
    <mergeCell ref="W52:X52"/>
    <mergeCell ref="S53:T53"/>
    <mergeCell ref="U53:V53"/>
    <mergeCell ref="W53:X53"/>
    <mergeCell ref="R57:X57"/>
    <mergeCell ref="S58:T58"/>
    <mergeCell ref="U58:V58"/>
    <mergeCell ref="W58:X58"/>
    <mergeCell ref="Q59:Q61"/>
    <mergeCell ref="S59:T59"/>
    <mergeCell ref="U59:V59"/>
    <mergeCell ref="W59:X59"/>
    <mergeCell ref="S60:T60"/>
    <mergeCell ref="U60:V60"/>
    <mergeCell ref="W60:X60"/>
    <mergeCell ref="S61:T61"/>
    <mergeCell ref="U61:V61"/>
    <mergeCell ref="W61:X61"/>
    <mergeCell ref="Q62:Q64"/>
    <mergeCell ref="S62:T62"/>
    <mergeCell ref="U62:V62"/>
    <mergeCell ref="W62:X62"/>
    <mergeCell ref="S63:T63"/>
    <mergeCell ref="U63:V63"/>
    <mergeCell ref="W63:X63"/>
    <mergeCell ref="S64:T64"/>
    <mergeCell ref="U64:V64"/>
    <mergeCell ref="W64:X64"/>
    <mergeCell ref="Q65:Q67"/>
    <mergeCell ref="S65:T65"/>
    <mergeCell ref="U65:V65"/>
    <mergeCell ref="W65:X65"/>
    <mergeCell ref="S66:T66"/>
    <mergeCell ref="U66:V66"/>
    <mergeCell ref="W66:X66"/>
    <mergeCell ref="S67:T67"/>
    <mergeCell ref="U67:V67"/>
    <mergeCell ref="W67:X67"/>
    <mergeCell ref="Q68:Q70"/>
    <mergeCell ref="S68:T68"/>
    <mergeCell ref="U68:V68"/>
    <mergeCell ref="W68:X68"/>
    <mergeCell ref="S69:T69"/>
    <mergeCell ref="U69:V69"/>
    <mergeCell ref="W69:X69"/>
    <mergeCell ref="S70:T70"/>
    <mergeCell ref="U70:V70"/>
    <mergeCell ref="W70:X70"/>
    <mergeCell ref="Q79:Q84"/>
    <mergeCell ref="S72:T72"/>
    <mergeCell ref="U72:V72"/>
    <mergeCell ref="W72:X72"/>
    <mergeCell ref="S73:T73"/>
    <mergeCell ref="U73:V73"/>
    <mergeCell ref="W73:X73"/>
    <mergeCell ref="S74:T74"/>
    <mergeCell ref="U74:V74"/>
    <mergeCell ref="W74:X74"/>
    <mergeCell ref="S75:T75"/>
    <mergeCell ref="U75:V75"/>
    <mergeCell ref="W75:X75"/>
    <mergeCell ref="Q73:Q78"/>
    <mergeCell ref="S76:T76"/>
    <mergeCell ref="U76:V76"/>
    <mergeCell ref="W76:X76"/>
    <mergeCell ref="S77:T77"/>
    <mergeCell ref="U77:V77"/>
    <mergeCell ref="W77:X77"/>
    <mergeCell ref="S79:T79"/>
    <mergeCell ref="U79:V79"/>
    <mergeCell ref="W79:X79"/>
    <mergeCell ref="S80:T80"/>
    <mergeCell ref="Q91:Q96"/>
    <mergeCell ref="S85:T85"/>
    <mergeCell ref="U85:V85"/>
    <mergeCell ref="W85:X85"/>
    <mergeCell ref="S86:T86"/>
    <mergeCell ref="U86:V86"/>
    <mergeCell ref="W86:X86"/>
    <mergeCell ref="S87:T87"/>
    <mergeCell ref="U87:V87"/>
    <mergeCell ref="W87:X87"/>
    <mergeCell ref="Q85:Q90"/>
    <mergeCell ref="S91:T91"/>
    <mergeCell ref="U91:V91"/>
    <mergeCell ref="W91:X91"/>
    <mergeCell ref="S95:T95"/>
    <mergeCell ref="U95:V95"/>
    <mergeCell ref="W95:X95"/>
    <mergeCell ref="S96:T96"/>
    <mergeCell ref="U96:V96"/>
    <mergeCell ref="W96:X96"/>
    <mergeCell ref="S90:T90"/>
    <mergeCell ref="U90:V90"/>
    <mergeCell ref="W90:X90"/>
    <mergeCell ref="S94:T94"/>
    <mergeCell ref="U80:V80"/>
    <mergeCell ref="W80:X80"/>
    <mergeCell ref="S81:T81"/>
    <mergeCell ref="U81:V81"/>
    <mergeCell ref="W81:X81"/>
    <mergeCell ref="S82:T82"/>
    <mergeCell ref="U82:V82"/>
    <mergeCell ref="W82:X82"/>
    <mergeCell ref="S78:T78"/>
    <mergeCell ref="U78:V78"/>
    <mergeCell ref="W78:X78"/>
    <mergeCell ref="U94:V94"/>
    <mergeCell ref="W94:X94"/>
    <mergeCell ref="S92:T92"/>
    <mergeCell ref="U92:V92"/>
    <mergeCell ref="W92:X92"/>
    <mergeCell ref="S93:T93"/>
    <mergeCell ref="U93:V93"/>
    <mergeCell ref="W93:X93"/>
    <mergeCell ref="S83:T83"/>
    <mergeCell ref="U83:V83"/>
    <mergeCell ref="W83:X83"/>
    <mergeCell ref="S88:T88"/>
    <mergeCell ref="U88:V88"/>
    <mergeCell ref="W88:X88"/>
    <mergeCell ref="S89:T89"/>
    <mergeCell ref="U89:V89"/>
    <mergeCell ref="W89:X89"/>
    <mergeCell ref="S84:T84"/>
    <mergeCell ref="U84:V84"/>
    <mergeCell ref="W84:X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Bitwarden</vt:lpstr>
      <vt:lpstr>Kaspersky</vt:lpstr>
      <vt:lpstr>Keeper</vt:lpstr>
      <vt:lpstr>LastPass</vt:lpstr>
      <vt:lpstr>NordPass</vt:lpstr>
      <vt:lpstr>Norton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Arthur Christopher Fredes de Oliveira</cp:lastModifiedBy>
  <dcterms:created xsi:type="dcterms:W3CDTF">2015-06-05T18:17:20Z</dcterms:created>
  <dcterms:modified xsi:type="dcterms:W3CDTF">2026-10-24T18:44:48Z</dcterms:modified>
</cp:coreProperties>
</file>